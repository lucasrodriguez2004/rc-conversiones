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0a6d2b5a0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os" sheetId="1" r:id="R67e1bfa70dca47ab"/>
    <x:sheet xmlns:r="http://schemas.openxmlformats.org/officeDocument/2006/relationships" name="Ajustes" sheetId="2" r:id="R0399b65e41be4fba"/>
    <x:sheet xmlns:r="http://schemas.openxmlformats.org/officeDocument/2006/relationships" name="Cómo usar" sheetId="3" r:id="Rab37e21cf422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"/>
    <x:numFmt numFmtId="201" formatCode="0.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  <x:font>
      <x:b/>
      <x:sz val="11"/>
      <x:color rgb="FF0B2F64"/>
      <x:name val="Carlito"/>
    </x:font>
    <x:font>
      <x:b/>
      <x:sz val="11"/>
      <x:color rgb="FFFFFFFF"/>
      <x:name val="Carlito"/>
    </x:font>
    <x:font>
      <x:b/>
      <x:sz val="11"/>
      <x:color rgb="FF0B5FA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F64"/>
      </x:patternFill>
    </x:fill>
    <x:fill>
      <x:patternFill patternType="solid">
        <x:fgColor rgb="FFEAF5FF"/>
      </x:patternFill>
    </x:fill>
    <x:fill>
      <x:patternFill patternType="solid">
        <x:fgColor rgb="FF0D8CFF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  <x:dxfs count="1">
    <x:dxf>
      <x:font>
        <x:color rgb="FFA63B3B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2d24d0bfc4014" /><Relationship Type="http://schemas.openxmlformats.org/officeDocument/2006/relationships/theme" Target="/xl/theme/theme1.xml" Id="R571f1862fcdf4e60" /><Relationship Type="http://schemas.openxmlformats.org/officeDocument/2006/relationships/sharedStrings" Target="/xl/sharedStrings.xml" Id="R38371933eb65460c" /><Relationship Type="http://schemas.openxmlformats.org/officeDocument/2006/relationships/worksheet" Target="/xl/worksheets/sheet1.xml" Id="R67e1bfa70dca47ab" /><Relationship Type="http://schemas.openxmlformats.org/officeDocument/2006/relationships/worksheet" Target="/xl/worksheets/sheet2.xml" Id="R0399b65e41be4fba" /><Relationship Type="http://schemas.openxmlformats.org/officeDocument/2006/relationships/worksheet" Target="/xl/worksheets/sheet3.xml" Id="Rab37e21cf422446d" /></Relationships>
</file>

<file path=xl/tables/table1.xml><?xml version="1.0" encoding="utf-8"?>
<x:table xmlns:x="http://schemas.openxmlformats.org/spreadsheetml/2006/main" id="1" name="TablaPreciosCatalogoRC" displayName="TablaPreciosCatalogoRC" ref="A1:J560" headerRowCount="1" totalsRowCount="0" totalsRowShown="0">
  <x:tableColumns count="10">
    <x:tableColumn id="1" name="Código"/>
    <x:tableColumn id="2" name="Categoría"/>
    <x:tableColumn id="3" name="Subcategoría"/>
    <x:tableColumn id="4" name="Producto"/>
    <x:tableColumn id="5" name="Imagen"/>
    <x:tableColumn id="6" name="Precio base"/>
    <x:tableColumn id="7" name="Ajuste individual %"/>
    <x:tableColumn id="8" name="Precio manual"/>
    <x:tableColumn id="9" name="Precio final"/>
    <x:tableColumn id="10" name="Página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8b841fcb2349f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4" hidden="0" customWidth="1"/>
    <x:col min="4" max="4" width="42" hidden="0" customWidth="1"/>
    <x:col min="5" max="5" width="28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1" hidden="0" customWidth="1"/>
  </x:cols>
  <x:sheetData>
    <x:row r="1" ht="28" customHeight="1">
      <x:c r="A1" s="23" t="str">
        <x:v>Código</x:v>
      </x:c>
      <x:c r="B1" s="23" t="str">
        <x:v>Categoría</x:v>
      </x:c>
      <x:c r="C1" s="23" t="str">
        <x:v>Subcategoría</x:v>
      </x:c>
      <x:c r="D1" s="23" t="str">
        <x:v>Producto</x:v>
      </x:c>
      <x:c r="E1" s="23" t="str">
        <x:v>Imagen</x:v>
      </x:c>
      <x:c r="F1" s="23" t="str">
        <x:v>Precio base</x:v>
      </x:c>
      <x:c r="G1" s="23" t="str">
        <x:v>Ajuste individual %</x:v>
      </x:c>
      <x:c r="H1" s="23" t="str">
        <x:v>Precio manual</x:v>
      </x:c>
      <x:c r="I1" s="23" t="str">
        <x:v>Precio final</x:v>
      </x:c>
      <x:c r="J1" s="23" t="str">
        <x:v>Página PDF</x:v>
      </x:c>
    </x:row>
    <x:row r="2">
      <x:c r="A2" t="str">
        <x:v>PM.50</x:v>
      </x:c>
      <x:c r="B2" t="str">
        <x:v>Energía Solar</x:v>
      </x:c>
      <x:c r="C2" s="8" t="str">
        <x:v>Paneles Solares Monocristalino</x:v>
      </x:c>
      <x:c r="D2" s="8" t="str">
        <x:v>Panel Solar Monocristalino 50W</x:v>
      </x:c>
      <x:c r="E2" s="8" t="str">
        <x:v>pm-50.png</x:v>
      </x:c>
      <x:c r="F2" s="30"/>
      <x:c r="G2" s="34" t="n">
        <x:v>0</x:v>
      </x:c>
      <x:c r="H2" s="30"/>
      <x:c r="I2" s="32" t="str">
        <x:f>IF(H2&lt;&gt;"",H2,IF(F2="","",ROUND((F2*(1+Ajustes!$B$3/100)*(1+IFERROR(VLOOKUP(B2,Ajustes!$A$7:$B$24,2,FALSE),0)/100)*(1+G2/100))/Ajustes!$B$4,0)*Ajustes!$B$4))</x:f>
      </x:c>
      <x:c r="J2" t="n">
        <x:v>1</x:v>
      </x:c>
    </x:row>
    <x:row r="3">
      <x:c r="A3" t="str">
        <x:v>PM.100</x:v>
      </x:c>
      <x:c r="B3" t="str">
        <x:v>Energía Solar</x:v>
      </x:c>
      <x:c r="C3" s="8" t="str">
        <x:v>Paneles Solares Monocristalino</x:v>
      </x:c>
      <x:c r="D3" s="8" t="str">
        <x:v>Panel Solar Monocristalino 100W</x:v>
      </x:c>
      <x:c r="E3" s="8" t="str">
        <x:v>pm-100.png</x:v>
      </x:c>
      <x:c r="F3" s="30"/>
      <x:c r="G3" s="34" t="n">
        <x:v>0</x:v>
      </x:c>
      <x:c r="H3" s="30"/>
      <x:c r="I3" s="32" t="str">
        <x:f>IF(H3&lt;&gt;"",H3,IF(F3="","",ROUND((F3*(1+Ajustes!$B$3/100)*(1+IFERROR(VLOOKUP(B3,Ajustes!$A$7:$B$24,2,FALSE),0)/100)*(1+G3/100))/Ajustes!$B$4,0)*Ajustes!$B$4))</x:f>
      </x:c>
      <x:c r="J3" t="n">
        <x:v>1</x:v>
      </x:c>
    </x:row>
    <x:row r="4">
      <x:c r="A4" t="str">
        <x:v>PM.160</x:v>
      </x:c>
      <x:c r="B4" t="str">
        <x:v>Energía Solar</x:v>
      </x:c>
      <x:c r="C4" s="8" t="str">
        <x:v>Paneles Solares Monocristalino</x:v>
      </x:c>
      <x:c r="D4" s="8" t="str">
        <x:v>Panel Solar Monocristalino 160W</x:v>
      </x:c>
      <x:c r="E4" s="8" t="str">
        <x:v>pm-160.png</x:v>
      </x:c>
      <x:c r="F4" s="30"/>
      <x:c r="G4" s="34" t="n">
        <x:v>0</x:v>
      </x:c>
      <x:c r="H4" s="30"/>
      <x:c r="I4" s="32" t="str">
        <x:f>IF(H4&lt;&gt;"",H4,IF(F4="","",ROUND((F4*(1+Ajustes!$B$3/100)*(1+IFERROR(VLOOKUP(B4,Ajustes!$A$7:$B$24,2,FALSE),0)/100)*(1+G4/100))/Ajustes!$B$4,0)*Ajustes!$B$4))</x:f>
      </x:c>
      <x:c r="J4" t="n">
        <x:v>1</x:v>
      </x:c>
    </x:row>
    <x:row r="5">
      <x:c r="A5" t="str">
        <x:v>PM.180</x:v>
      </x:c>
      <x:c r="B5" t="str">
        <x:v>Energía Solar</x:v>
      </x:c>
      <x:c r="C5" s="8" t="str">
        <x:v>Paneles Solares Monocristalino</x:v>
      </x:c>
      <x:c r="D5" s="8" t="str">
        <x:v>Panel Solar Monocristalino 180W</x:v>
      </x:c>
      <x:c r="E5" s="8" t="str">
        <x:v>pm-180.png</x:v>
      </x:c>
      <x:c r="F5" s="30"/>
      <x:c r="G5" s="34" t="n">
        <x:v>0</x:v>
      </x:c>
      <x:c r="H5" s="30"/>
      <x:c r="I5" s="32" t="str">
        <x:f>IF(H5&lt;&gt;"",H5,IF(F5="","",ROUND((F5*(1+Ajustes!$B$3/100)*(1+IFERROR(VLOOKUP(B5,Ajustes!$A$7:$B$24,2,FALSE),0)/100)*(1+G5/100))/Ajustes!$B$4,0)*Ajustes!$B$4))</x:f>
      </x:c>
      <x:c r="J5" t="n">
        <x:v>1</x:v>
      </x:c>
    </x:row>
    <x:row r="6">
      <x:c r="A6" t="str">
        <x:v>PM.190</x:v>
      </x:c>
      <x:c r="B6" t="str">
        <x:v>Energía Solar</x:v>
      </x:c>
      <x:c r="C6" s="8" t="str">
        <x:v>Paneles Solares Monocristalino</x:v>
      </x:c>
      <x:c r="D6" s="8" t="str">
        <x:v>Panel Solar Monocristalino 190W</x:v>
      </x:c>
      <x:c r="E6" s="8" t="str">
        <x:v>pm-190.png</x:v>
      </x:c>
      <x:c r="F6" s="30"/>
      <x:c r="G6" s="34" t="n">
        <x:v>0</x:v>
      </x:c>
      <x:c r="H6" s="30"/>
      <x:c r="I6" s="32" t="str">
        <x:f>IF(H6&lt;&gt;"",H6,IF(F6="","",ROUND((F6*(1+Ajustes!$B$3/100)*(1+IFERROR(VLOOKUP(B6,Ajustes!$A$7:$B$24,2,FALSE),0)/100)*(1+G6/100))/Ajustes!$B$4,0)*Ajustes!$B$4))</x:f>
      </x:c>
      <x:c r="J6" t="n">
        <x:v>1</x:v>
      </x:c>
    </x:row>
    <x:row r="7">
      <x:c r="A7" t="str">
        <x:v>PM.200</x:v>
      </x:c>
      <x:c r="B7" t="str">
        <x:v>Energía Solar</x:v>
      </x:c>
      <x:c r="C7" s="8" t="str">
        <x:v>Paneles Solares Monocristalino</x:v>
      </x:c>
      <x:c r="D7" s="8" t="str">
        <x:v>Panel Solar Monocristalino 200W</x:v>
      </x:c>
      <x:c r="E7" s="8" t="str">
        <x:v>pm-200.png</x:v>
      </x:c>
      <x:c r="F7" s="30"/>
      <x:c r="G7" s="34" t="n">
        <x:v>0</x:v>
      </x:c>
      <x:c r="H7" s="30"/>
      <x:c r="I7" s="32" t="str">
        <x:f>IF(H7&lt;&gt;"",H7,IF(F7="","",ROUND((F7*(1+Ajustes!$B$3/100)*(1+IFERROR(VLOOKUP(B7,Ajustes!$A$7:$B$24,2,FALSE),0)/100)*(1+G7/100))/Ajustes!$B$4,0)*Ajustes!$B$4))</x:f>
      </x:c>
      <x:c r="J7" t="n">
        <x:v>1</x:v>
      </x:c>
    </x:row>
    <x:row r="8">
      <x:c r="A8" t="str">
        <x:v>PM.210</x:v>
      </x:c>
      <x:c r="B8" t="str">
        <x:v>Energía Solar</x:v>
      </x:c>
      <x:c r="C8" s="8" t="str">
        <x:v>Paneles Solares Monocristalino</x:v>
      </x:c>
      <x:c r="D8" s="8" t="str">
        <x:v>Panel Solar Monocristalino 210W</x:v>
      </x:c>
      <x:c r="E8" s="8" t="str">
        <x:v>pm-210.png</x:v>
      </x:c>
      <x:c r="F8" s="30"/>
      <x:c r="G8" s="34" t="n">
        <x:v>0</x:v>
      </x:c>
      <x:c r="H8" s="30"/>
      <x:c r="I8" s="32" t="str">
        <x:f>IF(H8&lt;&gt;"",H8,IF(F8="","",ROUND((F8*(1+Ajustes!$B$3/100)*(1+IFERROR(VLOOKUP(B8,Ajustes!$A$7:$B$24,2,FALSE),0)/100)*(1+G8/100))/Ajustes!$B$4,0)*Ajustes!$B$4))</x:f>
      </x:c>
      <x:c r="J8" t="n">
        <x:v>1</x:v>
      </x:c>
    </x:row>
    <x:row r="9">
      <x:c r="A9" t="str">
        <x:v>PM.240</x:v>
      </x:c>
      <x:c r="B9" t="str">
        <x:v>Energía Solar</x:v>
      </x:c>
      <x:c r="C9" s="8" t="str">
        <x:v>Paneles Solares Monocristalino</x:v>
      </x:c>
      <x:c r="D9" s="8" t="str">
        <x:v>Panel Solar Monocristalino 240W</x:v>
      </x:c>
      <x:c r="E9" s="8" t="str">
        <x:v>pm-240.png</x:v>
      </x:c>
      <x:c r="F9" s="30"/>
      <x:c r="G9" s="34" t="n">
        <x:v>0</x:v>
      </x:c>
      <x:c r="H9" s="30"/>
      <x:c r="I9" s="32" t="str">
        <x:f>IF(H9&lt;&gt;"",H9,IF(F9="","",ROUND((F9*(1+Ajustes!$B$3/100)*(1+IFERROR(VLOOKUP(B9,Ajustes!$A$7:$B$24,2,FALSE),0)/100)*(1+G9/100))/Ajustes!$B$4,0)*Ajustes!$B$4))</x:f>
      </x:c>
      <x:c r="J9" t="n">
        <x:v>2</x:v>
      </x:c>
    </x:row>
    <x:row r="10">
      <x:c r="A10" t="str">
        <x:v>PM.280</x:v>
      </x:c>
      <x:c r="B10" t="str">
        <x:v>Energía Solar</x:v>
      </x:c>
      <x:c r="C10" s="8" t="str">
        <x:v>Paneles Solares Monocristalino</x:v>
      </x:c>
      <x:c r="D10" s="8" t="str">
        <x:v>Panel Solar Monocristalino 280W</x:v>
      </x:c>
      <x:c r="E10" s="8" t="str">
        <x:v>pm-280.png</x:v>
      </x:c>
      <x:c r="F10" s="30"/>
      <x:c r="G10" s="34" t="n">
        <x:v>0</x:v>
      </x:c>
      <x:c r="H10" s="30"/>
      <x:c r="I10" s="32" t="str">
        <x:f>IF(H10&lt;&gt;"",H10,IF(F10="","",ROUND((F10*(1+Ajustes!$B$3/100)*(1+IFERROR(VLOOKUP(B10,Ajustes!$A$7:$B$24,2,FALSE),0)/100)*(1+G10/100))/Ajustes!$B$4,0)*Ajustes!$B$4))</x:f>
      </x:c>
      <x:c r="J10" t="n">
        <x:v>2</x:v>
      </x:c>
    </x:row>
    <x:row r="11">
      <x:c r="A11" t="str">
        <x:v>PM.380</x:v>
      </x:c>
      <x:c r="B11" t="str">
        <x:v>Energía Solar</x:v>
      </x:c>
      <x:c r="C11" s="8" t="str">
        <x:v>Paneles Solares Monocristalino</x:v>
      </x:c>
      <x:c r="D11" s="8" t="str">
        <x:v>Panel Solar Monocristalino 380W</x:v>
      </x:c>
      <x:c r="E11" s="8" t="str">
        <x:v>pm-380.png</x:v>
      </x:c>
      <x:c r="F11" s="30"/>
      <x:c r="G11" s="34" t="n">
        <x:v>0</x:v>
      </x:c>
      <x:c r="H11" s="30"/>
      <x:c r="I11" s="32" t="str">
        <x:f>IF(H11&lt;&gt;"",H11,IF(F11="","",ROUND((F11*(1+Ajustes!$B$3/100)*(1+IFERROR(VLOOKUP(B11,Ajustes!$A$7:$B$24,2,FALSE),0)/100)*(1+G11/100))/Ajustes!$B$4,0)*Ajustes!$B$4))</x:f>
      </x:c>
      <x:c r="J11" t="n">
        <x:v>2</x:v>
      </x:c>
    </x:row>
    <x:row r="12">
      <x:c r="A12" t="str">
        <x:v>PM.420</x:v>
      </x:c>
      <x:c r="B12" t="str">
        <x:v>Energía Solar</x:v>
      </x:c>
      <x:c r="C12" s="8" t="str">
        <x:v>Paneles Solares Monocristalino</x:v>
      </x:c>
      <x:c r="D12" s="8" t="str">
        <x:v>Panel Solar Monocristalino 420W</x:v>
      </x:c>
      <x:c r="E12" s="8" t="str">
        <x:v>pm-420.png</x:v>
      </x:c>
      <x:c r="F12" s="30"/>
      <x:c r="G12" s="34" t="n">
        <x:v>0</x:v>
      </x:c>
      <x:c r="H12" s="30"/>
      <x:c r="I12" s="32" t="str">
        <x:f>IF(H12&lt;&gt;"",H12,IF(F12="","",ROUND((F12*(1+Ajustes!$B$3/100)*(1+IFERROR(VLOOKUP(B12,Ajustes!$A$7:$B$24,2,FALSE),0)/100)*(1+G12/100))/Ajustes!$B$4,0)*Ajustes!$B$4))</x:f>
      </x:c>
      <x:c r="J12" t="n">
        <x:v>2</x:v>
      </x:c>
    </x:row>
    <x:row r="13">
      <x:c r="A13" t="str">
        <x:v>PM.430</x:v>
      </x:c>
      <x:c r="B13" t="str">
        <x:v>Energía Solar</x:v>
      </x:c>
      <x:c r="C13" s="8" t="str">
        <x:v>Paneles Solares Monocristalino</x:v>
      </x:c>
      <x:c r="D13" s="8" t="str">
        <x:v>Panel Solar Monocristalino 430W</x:v>
      </x:c>
      <x:c r="E13" s="8" t="str">
        <x:v>pm-430.png</x:v>
      </x:c>
      <x:c r="F13" s="30"/>
      <x:c r="G13" s="34" t="n">
        <x:v>0</x:v>
      </x:c>
      <x:c r="H13" s="30"/>
      <x:c r="I13" s="32" t="str">
        <x:f>IF(H13&lt;&gt;"",H13,IF(F13="","",ROUND((F13*(1+Ajustes!$B$3/100)*(1+IFERROR(VLOOKUP(B13,Ajustes!$A$7:$B$24,2,FALSE),0)/100)*(1+G13/100))/Ajustes!$B$4,0)*Ajustes!$B$4))</x:f>
      </x:c>
      <x:c r="J13" t="n">
        <x:v>2</x:v>
      </x:c>
    </x:row>
    <x:row r="14">
      <x:c r="A14" t="str">
        <x:v>PM.440</x:v>
      </x:c>
      <x:c r="B14" t="str">
        <x:v>Energía Solar</x:v>
      </x:c>
      <x:c r="C14" s="8" t="str">
        <x:v>Paneles Solares Monocristalino</x:v>
      </x:c>
      <x:c r="D14" s="8" t="str">
        <x:v>Panel Solar Monocristalino 440W</x:v>
      </x:c>
      <x:c r="E14" s="8" t="str">
        <x:v>pm-440.png</x:v>
      </x:c>
      <x:c r="F14" s="30"/>
      <x:c r="G14" s="34" t="n">
        <x:v>0</x:v>
      </x:c>
      <x:c r="H14" s="30"/>
      <x:c r="I14" s="32" t="str">
        <x:f>IF(H14&lt;&gt;"",H14,IF(F14="","",ROUND((F14*(1+Ajustes!$B$3/100)*(1+IFERROR(VLOOKUP(B14,Ajustes!$A$7:$B$24,2,FALSE),0)/100)*(1+G14/100))/Ajustes!$B$4,0)*Ajustes!$B$4))</x:f>
      </x:c>
      <x:c r="J14" t="n">
        <x:v>2</x:v>
      </x:c>
    </x:row>
    <x:row r="15">
      <x:c r="A15" t="str">
        <x:v>PM.450</x:v>
      </x:c>
      <x:c r="B15" t="str">
        <x:v>Energía Solar</x:v>
      </x:c>
      <x:c r="C15" s="8" t="str">
        <x:v>Paneles Solares Monocristalino</x:v>
      </x:c>
      <x:c r="D15" s="8" t="str">
        <x:v>Panel Solar Monocristalino 450W</x:v>
      </x:c>
      <x:c r="E15" s="8" t="str">
        <x:v>pm-450.png</x:v>
      </x:c>
      <x:c r="F15" s="30"/>
      <x:c r="G15" s="34" t="n">
        <x:v>0</x:v>
      </x:c>
      <x:c r="H15" s="30"/>
      <x:c r="I15" s="32" t="str">
        <x:f>IF(H15&lt;&gt;"",H15,IF(F15="","",ROUND((F15*(1+Ajustes!$B$3/100)*(1+IFERROR(VLOOKUP(B15,Ajustes!$A$7:$B$24,2,FALSE),0)/100)*(1+G15/100))/Ajustes!$B$4,0)*Ajustes!$B$4))</x:f>
      </x:c>
      <x:c r="J15" t="n">
        <x:v>2</x:v>
      </x:c>
    </x:row>
    <x:row r="16">
      <x:c r="A16" t="str">
        <x:v>PM.470</x:v>
      </x:c>
      <x:c r="B16" t="str">
        <x:v>Energía Solar</x:v>
      </x:c>
      <x:c r="C16" s="8" t="str">
        <x:v>Paneles Solares Monocristalino</x:v>
      </x:c>
      <x:c r="D16" s="8" t="str">
        <x:v>Panel Solar Monocristalino 470W</x:v>
      </x:c>
      <x:c r="E16" s="8" t="str">
        <x:v>pm-470.png</x:v>
      </x:c>
      <x:c r="F16" s="30"/>
      <x:c r="G16" s="34" t="n">
        <x:v>0</x:v>
      </x:c>
      <x:c r="H16" s="30"/>
      <x:c r="I16" s="32" t="str">
        <x:f>IF(H16&lt;&gt;"",H16,IF(F16="","",ROUND((F16*(1+Ajustes!$B$3/100)*(1+IFERROR(VLOOKUP(B16,Ajustes!$A$7:$B$24,2,FALSE),0)/100)*(1+G16/100))/Ajustes!$B$4,0)*Ajustes!$B$4))</x:f>
      </x:c>
      <x:c r="J16" t="n">
        <x:v>2</x:v>
      </x:c>
    </x:row>
    <x:row r="17">
      <x:c r="A17" t="str">
        <x:v>PM.540</x:v>
      </x:c>
      <x:c r="B17" t="str">
        <x:v>Energía Solar</x:v>
      </x:c>
      <x:c r="C17" s="8" t="str">
        <x:v>Paneles Solares Monocristalino</x:v>
      </x:c>
      <x:c r="D17" s="8" t="str">
        <x:v>Panel Solar Monocristalino 540W</x:v>
      </x:c>
      <x:c r="E17" s="8" t="str">
        <x:v>pm-540.png</x:v>
      </x:c>
      <x:c r="F17" s="30"/>
      <x:c r="G17" s="34" t="n">
        <x:v>0</x:v>
      </x:c>
      <x:c r="H17" s="30"/>
      <x:c r="I17" s="32" t="str">
        <x:f>IF(H17&lt;&gt;"",H17,IF(F17="","",ROUND((F17*(1+Ajustes!$B$3/100)*(1+IFERROR(VLOOKUP(B17,Ajustes!$A$7:$B$24,2,FALSE),0)/100)*(1+G17/100))/Ajustes!$B$4,0)*Ajustes!$B$4))</x:f>
      </x:c>
      <x:c r="J17" t="n">
        <x:v>3</x:v>
      </x:c>
    </x:row>
    <x:row r="18">
      <x:c r="A18" t="str">
        <x:v>PM.550</x:v>
      </x:c>
      <x:c r="B18" t="str">
        <x:v>Energía Solar</x:v>
      </x:c>
      <x:c r="C18" s="8" t="str">
        <x:v>Paneles Solares Monocristalino</x:v>
      </x:c>
      <x:c r="D18" s="8" t="str">
        <x:v>Panel Solar Monocristalino 550W</x:v>
      </x:c>
      <x:c r="E18" s="8" t="str">
        <x:v>pm-550.png</x:v>
      </x:c>
      <x:c r="F18" s="30"/>
      <x:c r="G18" s="34" t="n">
        <x:v>0</x:v>
      </x:c>
      <x:c r="H18" s="30"/>
      <x:c r="I18" s="32" t="str">
        <x:f>IF(H18&lt;&gt;"",H18,IF(F18="","",ROUND((F18*(1+Ajustes!$B$3/100)*(1+IFERROR(VLOOKUP(B18,Ajustes!$A$7:$B$24,2,FALSE),0)/100)*(1+G18/100))/Ajustes!$B$4,0)*Ajustes!$B$4))</x:f>
      </x:c>
      <x:c r="J18" t="n">
        <x:v>3</x:v>
      </x:c>
    </x:row>
    <x:row r="19">
      <x:c r="A19" t="str">
        <x:v>PP.80</x:v>
      </x:c>
      <x:c r="B19" t="str">
        <x:v>Energía Solar</x:v>
      </x:c>
      <x:c r="C19" s="8" t="str">
        <x:v>Paneles Solares Policristalino</x:v>
      </x:c>
      <x:c r="D19" s="8" t="str">
        <x:v>Panel Solar Policristalino 80W</x:v>
      </x:c>
      <x:c r="E19" s="8" t="str">
        <x:v>pp-80.png</x:v>
      </x:c>
      <x:c r="F19" s="30"/>
      <x:c r="G19" s="34" t="n">
        <x:v>0</x:v>
      </x:c>
      <x:c r="H19" s="30"/>
      <x:c r="I19" s="32" t="str">
        <x:f>IF(H19&lt;&gt;"",H19,IF(F19="","",ROUND((F19*(1+Ajustes!$B$3/100)*(1+IFERROR(VLOOKUP(B19,Ajustes!$A$7:$B$24,2,FALSE),0)/100)*(1+G19/100))/Ajustes!$B$4,0)*Ajustes!$B$4))</x:f>
      </x:c>
      <x:c r="J19" t="n">
        <x:v>3</x:v>
      </x:c>
    </x:row>
    <x:row r="20">
      <x:c r="A20" t="str">
        <x:v>PP.100</x:v>
      </x:c>
      <x:c r="B20" t="str">
        <x:v>Energía Solar</x:v>
      </x:c>
      <x:c r="C20" s="8" t="str">
        <x:v>Paneles Solares Policristalino</x:v>
      </x:c>
      <x:c r="D20" s="8" t="str">
        <x:v>Panel Solar Policristalino 100W</x:v>
      </x:c>
      <x:c r="E20" s="8" t="str">
        <x:v>pp-100.png</x:v>
      </x:c>
      <x:c r="F20" s="30"/>
      <x:c r="G20" s="34" t="n">
        <x:v>0</x:v>
      </x:c>
      <x:c r="H20" s="30"/>
      <x:c r="I20" s="32" t="str">
        <x:f>IF(H20&lt;&gt;"",H20,IF(F20="","",ROUND((F20*(1+Ajustes!$B$3/100)*(1+IFERROR(VLOOKUP(B20,Ajustes!$A$7:$B$24,2,FALSE),0)/100)*(1+G20/100))/Ajustes!$B$4,0)*Ajustes!$B$4))</x:f>
      </x:c>
      <x:c r="J20" t="n">
        <x:v>3</x:v>
      </x:c>
    </x:row>
    <x:row r="21">
      <x:c r="A21" t="str">
        <x:v>PP.340</x:v>
      </x:c>
      <x:c r="B21" t="str">
        <x:v>Energía Solar</x:v>
      </x:c>
      <x:c r="C21" s="8" t="str">
        <x:v>Paneles Solares Policristalino</x:v>
      </x:c>
      <x:c r="D21" s="8" t="str">
        <x:v>Panel Solar Policristalino 340W</x:v>
      </x:c>
      <x:c r="E21" s="8" t="str">
        <x:v>pp-340.png</x:v>
      </x:c>
      <x:c r="F21" s="30"/>
      <x:c r="G21" s="34" t="n">
        <x:v>0</x:v>
      </x:c>
      <x:c r="H21" s="30"/>
      <x:c r="I21" s="32" t="str">
        <x:f>IF(H21&lt;&gt;"",H21,IF(F21="","",ROUND((F21*(1+Ajustes!$B$3/100)*(1+IFERROR(VLOOKUP(B21,Ajustes!$A$7:$B$24,2,FALSE),0)/100)*(1+G21/100))/Ajustes!$B$4,0)*Ajustes!$B$4))</x:f>
      </x:c>
      <x:c r="J21" t="n">
        <x:v>3</x:v>
      </x:c>
    </x:row>
    <x:row r="22">
      <x:c r="A22" t="str">
        <x:v>MC4</x:v>
      </x:c>
      <x:c r="B22" t="str">
        <x:v>Energía Solar</x:v>
      </x:c>
      <x:c r="C22" s="8" t="str">
        <x:v>Accesorios P/Paneles</x:v>
      </x:c>
      <x:c r="D22" s="8" t="str">
        <x:v>Conector MC4 - Macho + Hembra</x:v>
      </x:c>
      <x:c r="E22" s="8" t="str">
        <x:v>mc4.png</x:v>
      </x:c>
      <x:c r="F22" s="30"/>
      <x:c r="G22" s="34" t="n">
        <x:v>0</x:v>
      </x:c>
      <x:c r="H22" s="30"/>
      <x:c r="I22" s="32" t="str">
        <x:f>IF(H22&lt;&gt;"",H22,IF(F22="","",ROUND((F22*(1+Ajustes!$B$3/100)*(1+IFERROR(VLOOKUP(B22,Ajustes!$A$7:$B$24,2,FALSE),0)/100)*(1+G22/100))/Ajustes!$B$4,0)*Ajustes!$B$4))</x:f>
      </x:c>
      <x:c r="J22" t="n">
        <x:v>3</x:v>
      </x:c>
    </x:row>
    <x:row r="23">
      <x:c r="A23" t="str">
        <x:v>MC4-Y2</x:v>
      </x:c>
      <x:c r="B23" t="str">
        <x:v>Energía Solar</x:v>
      </x:c>
      <x:c r="C23" s="8" t="str">
        <x:v>Accesorios P/Paneles</x:v>
      </x:c>
      <x:c r="D23" s="8" t="str">
        <x:v>Conector  MC4Y-2 - Macho + Hembra</x:v>
      </x:c>
      <x:c r="E23" s="8" t="str">
        <x:v>mc4-y2.png</x:v>
      </x:c>
      <x:c r="F23" s="30"/>
      <x:c r="G23" s="34" t="n">
        <x:v>0</x:v>
      </x:c>
      <x:c r="H23" s="30"/>
      <x:c r="I23" s="32" t="str">
        <x:f>IF(H23&lt;&gt;"",H23,IF(F23="","",ROUND((F23*(1+Ajustes!$B$3/100)*(1+IFERROR(VLOOKUP(B23,Ajustes!$A$7:$B$24,2,FALSE),0)/100)*(1+G23/100))/Ajustes!$B$4,0)*Ajustes!$B$4))</x:f>
      </x:c>
      <x:c r="J23" t="n">
        <x:v>3</x:v>
      </x:c>
    </x:row>
    <x:row r="24">
      <x:c r="A24" t="str">
        <x:v>MC4-Y3</x:v>
      </x:c>
      <x:c r="B24" t="str">
        <x:v>Energía Solar</x:v>
      </x:c>
      <x:c r="C24" s="8" t="str">
        <x:v>Accesorios P/Paneles</x:v>
      </x:c>
      <x:c r="D24" s="8" t="str">
        <x:v>Conector  MC4Y-3 - Macho + Hembra</x:v>
      </x:c>
      <x:c r="E24" s="8" t="str">
        <x:v>mc4-y3.png</x:v>
      </x:c>
      <x:c r="F24" s="30"/>
      <x:c r="G24" s="34" t="n">
        <x:v>0</x:v>
      </x:c>
      <x:c r="H24" s="30"/>
      <x:c r="I24" s="32" t="str">
        <x:f>IF(H24&lt;&gt;"",H24,IF(F24="","",ROUND((F24*(1+Ajustes!$B$3/100)*(1+IFERROR(VLOOKUP(B24,Ajustes!$A$7:$B$24,2,FALSE),0)/100)*(1+G24/100))/Ajustes!$B$4,0)*Ajustes!$B$4))</x:f>
      </x:c>
      <x:c r="J24" t="n">
        <x:v>4</x:v>
      </x:c>
    </x:row>
    <x:row r="25">
      <x:c r="A25" t="str">
        <x:v>MC4-T2</x:v>
      </x:c>
      <x:c r="B25" t="str">
        <x:v>Energía Solar</x:v>
      </x:c>
      <x:c r="C25" s="8" t="str">
        <x:v>Accesorios P/Paneles</x:v>
      </x:c>
      <x:c r="D25" s="8" t="str">
        <x:v>Conector  MC4T-2 - Macho + Hembra</x:v>
      </x:c>
      <x:c r="E25" s="8" t="str">
        <x:v>mc4-t2.png</x:v>
      </x:c>
      <x:c r="F25" s="30"/>
      <x:c r="G25" s="34" t="n">
        <x:v>0</x:v>
      </x:c>
      <x:c r="H25" s="30"/>
      <x:c r="I25" s="32" t="str">
        <x:f>IF(H25&lt;&gt;"",H25,IF(F25="","",ROUND((F25*(1+Ajustes!$B$3/100)*(1+IFERROR(VLOOKUP(B25,Ajustes!$A$7:$B$24,2,FALSE),0)/100)*(1+G25/100))/Ajustes!$B$4,0)*Ajustes!$B$4))</x:f>
      </x:c>
      <x:c r="J25" t="n">
        <x:v>4</x:v>
      </x:c>
    </x:row>
    <x:row r="26">
      <x:c r="A26" t="str">
        <x:v>MC4-T3</x:v>
      </x:c>
      <x:c r="B26" t="str">
        <x:v>Energía Solar</x:v>
      </x:c>
      <x:c r="C26" s="8" t="str">
        <x:v>Accesorios P/Paneles</x:v>
      </x:c>
      <x:c r="D26" s="8" t="str">
        <x:v>Conector  MC4T-3 - Macho + Hembra</x:v>
      </x:c>
      <x:c r="E26" s="8" t="str">
        <x:v>mc4-t3.png</x:v>
      </x:c>
      <x:c r="F26" s="30"/>
      <x:c r="G26" s="34" t="n">
        <x:v>0</x:v>
      </x:c>
      <x:c r="H26" s="30"/>
      <x:c r="I26" s="32" t="str">
        <x:f>IF(H26&lt;&gt;"",H26,IF(F26="","",ROUND((F26*(1+Ajustes!$B$3/100)*(1+IFERROR(VLOOKUP(B26,Ajustes!$A$7:$B$24,2,FALSE),0)/100)*(1+G26/100))/Ajustes!$B$4,0)*Ajustes!$B$4))</x:f>
      </x:c>
      <x:c r="J26" t="n">
        <x:v>4</x:v>
      </x:c>
    </x:row>
    <x:row r="27">
      <x:c r="A27" t="str">
        <x:v>MC4-T4</x:v>
      </x:c>
      <x:c r="B27" t="str">
        <x:v>Energía Solar</x:v>
      </x:c>
      <x:c r="C27" s="8" t="str">
        <x:v>Accesorios P/Paneles</x:v>
      </x:c>
      <x:c r="D27" s="8" t="str">
        <x:v>Conector  MC4T-4 - Macho + Hembra</x:v>
      </x:c>
      <x:c r="E27" s="8" t="str">
        <x:v>mc4-t4.png</x:v>
      </x:c>
      <x:c r="F27" s="30"/>
      <x:c r="G27" s="34" t="n">
        <x:v>0</x:v>
      </x:c>
      <x:c r="H27" s="30"/>
      <x:c r="I27" s="32" t="str">
        <x:f>IF(H27&lt;&gt;"",H27,IF(F27="","",ROUND((F27*(1+Ajustes!$B$3/100)*(1+IFERROR(VLOOKUP(B27,Ajustes!$A$7:$B$24,2,FALSE),0)/100)*(1+G27/100))/Ajustes!$B$4,0)*Ajustes!$B$4))</x:f>
      </x:c>
      <x:c r="J27" t="n">
        <x:v>4</x:v>
      </x:c>
    </x:row>
    <x:row r="28">
      <x:c r="A28" t="str">
        <x:v>RM.15.L</x:v>
      </x:c>
      <x:c r="B28" t="str">
        <x:v>Reguladores</x:v>
      </x:c>
      <x:c r="C28" s="8" t="str">
        <x:v>Reguladores Solares MPPT</x:v>
      </x:c>
      <x:c r="D28" s="8" t="str">
        <x:v>Regulador MPPT 15ah Max</x:v>
      </x:c>
      <x:c r="E28" s="8" t="str">
        <x:v>rm-15-l.png</x:v>
      </x:c>
      <x:c r="F28" s="30"/>
      <x:c r="G28" s="34" t="n">
        <x:v>0</x:v>
      </x:c>
      <x:c r="H28" s="30"/>
      <x:c r="I28" s="32" t="str">
        <x:f>IF(H28&lt;&gt;"",H28,IF(F28="","",ROUND((F28*(1+Ajustes!$B$3/100)*(1+IFERROR(VLOOKUP(B28,Ajustes!$A$7:$B$24,2,FALSE),0)/100)*(1+G28/100))/Ajustes!$B$4,0)*Ajustes!$B$4))</x:f>
      </x:c>
      <x:c r="J28" t="n">
        <x:v>4</x:v>
      </x:c>
    </x:row>
    <x:row r="29">
      <x:c r="A29" t="str">
        <x:v>RM.20</x:v>
      </x:c>
      <x:c r="B29" t="str">
        <x:v>Reguladores</x:v>
      </x:c>
      <x:c r="C29" s="8" t="str">
        <x:v>Reguladores Solares MPPT</x:v>
      </x:c>
      <x:c r="D29" s="8" t="str">
        <x:v>Regulador MPPT 20ah</x:v>
      </x:c>
      <x:c r="E29" s="8" t="str">
        <x:v>rm-20.png</x:v>
      </x:c>
      <x:c r="F29" s="30"/>
      <x:c r="G29" s="34" t="n">
        <x:v>0</x:v>
      </x:c>
      <x:c r="H29" s="30"/>
      <x:c r="I29" s="32" t="str">
        <x:f>IF(H29&lt;&gt;"",H29,IF(F29="","",ROUND((F29*(1+Ajustes!$B$3/100)*(1+IFERROR(VLOOKUP(B29,Ajustes!$A$7:$B$24,2,FALSE),0)/100)*(1+G29/100))/Ajustes!$B$4,0)*Ajustes!$B$4))</x:f>
      </x:c>
      <x:c r="J29" t="n">
        <x:v>4</x:v>
      </x:c>
    </x:row>
    <x:row r="30">
      <x:c r="A30" t="str">
        <x:v>RM.20.L</x:v>
      </x:c>
      <x:c r="B30" t="str">
        <x:v>Reguladores</x:v>
      </x:c>
      <x:c r="C30" s="8" t="str">
        <x:v>Reguladores Solares MPPT</x:v>
      </x:c>
      <x:c r="D30" s="8" t="str">
        <x:v>Regulador MPPT 20ah Max</x:v>
      </x:c>
      <x:c r="E30" s="8" t="str">
        <x:v>rm-20-l.png</x:v>
      </x:c>
      <x:c r="F30" s="30"/>
      <x:c r="G30" s="34" t="n">
        <x:v>0</x:v>
      </x:c>
      <x:c r="H30" s="30"/>
      <x:c r="I30" s="32" t="str">
        <x:f>IF(H30&lt;&gt;"",H30,IF(F30="","",ROUND((F30*(1+Ajustes!$B$3/100)*(1+IFERROR(VLOOKUP(B30,Ajustes!$A$7:$B$24,2,FALSE),0)/100)*(1+G30/100))/Ajustes!$B$4,0)*Ajustes!$B$4))</x:f>
      </x:c>
      <x:c r="J30" t="n">
        <x:v>4</x:v>
      </x:c>
    </x:row>
    <x:row r="31">
      <x:c r="A31" t="str">
        <x:v>RM.30.L</x:v>
      </x:c>
      <x:c r="B31" t="str">
        <x:v>Reguladores</x:v>
      </x:c>
      <x:c r="C31" s="8" t="str">
        <x:v>Reguladores Solares MPPT</x:v>
      </x:c>
      <x:c r="D31" s="8" t="str">
        <x:v>Regulador MPPT 30ah Max</x:v>
      </x:c>
      <x:c r="E31" s="8" t="str">
        <x:v>rm-30-l.png</x:v>
      </x:c>
      <x:c r="F31" s="30"/>
      <x:c r="G31" s="34" t="n">
        <x:v>0</x:v>
      </x:c>
      <x:c r="H31" s="30"/>
      <x:c r="I31" s="32" t="str">
        <x:f>IF(H31&lt;&gt;"",H31,IF(F31="","",ROUND((F31*(1+Ajustes!$B$3/100)*(1+IFERROR(VLOOKUP(B31,Ajustes!$A$7:$B$24,2,FALSE),0)/100)*(1+G31/100))/Ajustes!$B$4,0)*Ajustes!$B$4))</x:f>
      </x:c>
      <x:c r="J31" t="n">
        <x:v>4</x:v>
      </x:c>
    </x:row>
    <x:row r="32">
      <x:c r="A32" t="str">
        <x:v>RM.40.L</x:v>
      </x:c>
      <x:c r="B32" t="str">
        <x:v>Reguladores</x:v>
      </x:c>
      <x:c r="C32" s="8" t="str">
        <x:v>Reguladores Solares MPPT</x:v>
      </x:c>
      <x:c r="D32" s="8" t="str">
        <x:v>Regulador MPPT 40ah Max</x:v>
      </x:c>
      <x:c r="E32" s="8" t="str">
        <x:v>rm-40-l.png</x:v>
      </x:c>
      <x:c r="F32" s="30"/>
      <x:c r="G32" s="34" t="n">
        <x:v>0</x:v>
      </x:c>
      <x:c r="H32" s="30"/>
      <x:c r="I32" s="32" t="str">
        <x:f>IF(H32&lt;&gt;"",H32,IF(F32="","",ROUND((F32*(1+Ajustes!$B$3/100)*(1+IFERROR(VLOOKUP(B32,Ajustes!$A$7:$B$24,2,FALSE),0)/100)*(1+G32/100))/Ajustes!$B$4,0)*Ajustes!$B$4))</x:f>
      </x:c>
      <x:c r="J32" t="n">
        <x:v>5</x:v>
      </x:c>
    </x:row>
    <x:row r="33">
      <x:c r="A33" t="str">
        <x:v>RM.40</x:v>
      </x:c>
      <x:c r="B33" t="str">
        <x:v>Reguladores</x:v>
      </x:c>
      <x:c r="C33" s="8" t="str">
        <x:v>Reguladores Solares MPPT</x:v>
      </x:c>
      <x:c r="D33" s="8" t="str">
        <x:v>Regulador MPPT 40ah C/Display</x:v>
      </x:c>
      <x:c r="E33" s="8" t="str">
        <x:v>rm-40.png</x:v>
      </x:c>
      <x:c r="F33" s="30"/>
      <x:c r="G33" s="34" t="n">
        <x:v>0</x:v>
      </x:c>
      <x:c r="H33" s="30"/>
      <x:c r="I33" s="32" t="str">
        <x:f>IF(H33&lt;&gt;"",H33,IF(F33="","",ROUND((F33*(1+Ajustes!$B$3/100)*(1+IFERROR(VLOOKUP(B33,Ajustes!$A$7:$B$24,2,FALSE),0)/100)*(1+G33/100))/Ajustes!$B$4,0)*Ajustes!$B$4))</x:f>
      </x:c>
      <x:c r="J33" t="n">
        <x:v>5</x:v>
      </x:c>
    </x:row>
    <x:row r="34">
      <x:c r="A34" t="str">
        <x:v>RM.60</x:v>
      </x:c>
      <x:c r="B34" t="str">
        <x:v>Reguladores</x:v>
      </x:c>
      <x:c r="C34" s="8" t="str">
        <x:v>Reguladores Solares MPPT</x:v>
      </x:c>
      <x:c r="D34" s="8" t="str">
        <x:v>Regulador MPPT 60ah</x:v>
      </x:c>
      <x:c r="E34" s="8" t="str">
        <x:v>rm-60.png</x:v>
      </x:c>
      <x:c r="F34" s="30"/>
      <x:c r="G34" s="34" t="n">
        <x:v>0</x:v>
      </x:c>
      <x:c r="H34" s="30"/>
      <x:c r="I34" s="32" t="str">
        <x:f>IF(H34&lt;&gt;"",H34,IF(F34="","",ROUND((F34*(1+Ajustes!$B$3/100)*(1+IFERROR(VLOOKUP(B34,Ajustes!$A$7:$B$24,2,FALSE),0)/100)*(1+G34/100))/Ajustes!$B$4,0)*Ajustes!$B$4))</x:f>
      </x:c>
      <x:c r="J34" t="n">
        <x:v>5</x:v>
      </x:c>
    </x:row>
    <x:row r="35">
      <x:c r="A35" t="str">
        <x:v>RM.60.L</x:v>
      </x:c>
      <x:c r="B35" t="str">
        <x:v>Reguladores</x:v>
      </x:c>
      <x:c r="C35" s="8" t="str">
        <x:v>Reguladores Solares MPPT</x:v>
      </x:c>
      <x:c r="D35" s="8" t="str">
        <x:v>Regulador MPPT 60A C/Bluetooth</x:v>
      </x:c>
      <x:c r="E35" s="8" t="str">
        <x:v>rm-60-l.png</x:v>
      </x:c>
      <x:c r="F35" s="30"/>
      <x:c r="G35" s="34" t="n">
        <x:v>0</x:v>
      </x:c>
      <x:c r="H35" s="30"/>
      <x:c r="I35" s="32" t="str">
        <x:f>IF(H35&lt;&gt;"",H35,IF(F35="","",ROUND((F35*(1+Ajustes!$B$3/100)*(1+IFERROR(VLOOKUP(B35,Ajustes!$A$7:$B$24,2,FALSE),0)/100)*(1+G35/100))/Ajustes!$B$4,0)*Ajustes!$B$4))</x:f>
      </x:c>
      <x:c r="J35" t="n">
        <x:v>5</x:v>
      </x:c>
    </x:row>
    <x:row r="36">
      <x:c r="A36" t="str">
        <x:v>RM.80</x:v>
      </x:c>
      <x:c r="B36" t="str">
        <x:v>Reguladores</x:v>
      </x:c>
      <x:c r="C36" s="8" t="str">
        <x:v>Reguladores Solares MPPT</x:v>
      </x:c>
      <x:c r="D36" s="8" t="str">
        <x:v>Regulador MPPT 80ah</x:v>
      </x:c>
      <x:c r="E36" s="8" t="str">
        <x:v>rm-80.png</x:v>
      </x:c>
      <x:c r="F36" s="30"/>
      <x:c r="G36" s="34" t="n">
        <x:v>0</x:v>
      </x:c>
      <x:c r="H36" s="30"/>
      <x:c r="I36" s="32" t="str">
        <x:f>IF(H36&lt;&gt;"",H36,IF(F36="","",ROUND((F36*(1+Ajustes!$B$3/100)*(1+IFERROR(VLOOKUP(B36,Ajustes!$A$7:$B$24,2,FALSE),0)/100)*(1+G36/100))/Ajustes!$B$4,0)*Ajustes!$B$4))</x:f>
      </x:c>
      <x:c r="J36" t="n">
        <x:v>5</x:v>
      </x:c>
    </x:row>
    <x:row r="37">
      <x:c r="A37" t="str">
        <x:v>RM.100</x:v>
      </x:c>
      <x:c r="B37" t="str">
        <x:v>Reguladores</x:v>
      </x:c>
      <x:c r="C37" s="8" t="str">
        <x:v>Reguladores Solares MPPT</x:v>
      </x:c>
      <x:c r="D37" s="8" t="str">
        <x:v>Regulador MPPT 100ah</x:v>
      </x:c>
      <x:c r="E37" s="8" t="str">
        <x:v>rm-100.png</x:v>
      </x:c>
      <x:c r="F37" s="30"/>
      <x:c r="G37" s="34" t="n">
        <x:v>0</x:v>
      </x:c>
      <x:c r="H37" s="30"/>
      <x:c r="I37" s="32" t="str">
        <x:f>IF(H37&lt;&gt;"",H37,IF(F37="","",ROUND((F37*(1+Ajustes!$B$3/100)*(1+IFERROR(VLOOKUP(B37,Ajustes!$A$7:$B$24,2,FALSE),0)/100)*(1+G37/100))/Ajustes!$B$4,0)*Ajustes!$B$4))</x:f>
      </x:c>
      <x:c r="J37" t="n">
        <x:v>5</x:v>
      </x:c>
    </x:row>
    <x:row r="38">
      <x:c r="A38" t="str">
        <x:v>RP.10</x:v>
      </x:c>
      <x:c r="B38" t="str">
        <x:v>Reguladores</x:v>
      </x:c>
      <x:c r="C38" s="8" t="str">
        <x:v>Reguladores Solares PWM</x:v>
      </x:c>
      <x:c r="D38" s="8" t="str">
        <x:v>Regulador PWM 10ah</x:v>
      </x:c>
      <x:c r="E38" s="8" t="str">
        <x:v>rp-10.png</x:v>
      </x:c>
      <x:c r="F38" s="30"/>
      <x:c r="G38" s="34" t="n">
        <x:v>0</x:v>
      </x:c>
      <x:c r="H38" s="30"/>
      <x:c r="I38" s="32" t="str">
        <x:f>IF(H38&lt;&gt;"",H38,IF(F38="","",ROUND((F38*(1+Ajustes!$B$3/100)*(1+IFERROR(VLOOKUP(B38,Ajustes!$A$7:$B$24,2,FALSE),0)/100)*(1+G38/100))/Ajustes!$B$4,0)*Ajustes!$B$4))</x:f>
      </x:c>
      <x:c r="J38" t="n">
        <x:v>5</x:v>
      </x:c>
    </x:row>
    <x:row r="39">
      <x:c r="A39" t="str">
        <x:v>RP.20</x:v>
      </x:c>
      <x:c r="B39" t="str">
        <x:v>Reguladores</x:v>
      </x:c>
      <x:c r="C39" s="8" t="str">
        <x:v>Reguladores Solares PWM</x:v>
      </x:c>
      <x:c r="D39" s="8" t="str">
        <x:v>Regulador PWM 20ah</x:v>
      </x:c>
      <x:c r="E39" s="8" t="str">
        <x:v>rp-20.png</x:v>
      </x:c>
      <x:c r="F39" s="30"/>
      <x:c r="G39" s="34" t="n">
        <x:v>0</x:v>
      </x:c>
      <x:c r="H39" s="30"/>
      <x:c r="I39" s="32" t="str">
        <x:f>IF(H39&lt;&gt;"",H39,IF(F39="","",ROUND((F39*(1+Ajustes!$B$3/100)*(1+IFERROR(VLOOKUP(B39,Ajustes!$A$7:$B$24,2,FALSE),0)/100)*(1+G39/100))/Ajustes!$B$4,0)*Ajustes!$B$4))</x:f>
      </x:c>
      <x:c r="J39" t="n">
        <x:v>5</x:v>
      </x:c>
    </x:row>
    <x:row r="40">
      <x:c r="A40" t="str">
        <x:v>RP.30</x:v>
      </x:c>
      <x:c r="B40" t="str">
        <x:v>Reguladores</x:v>
      </x:c>
      <x:c r="C40" s="8" t="str">
        <x:v>Reguladores Solares PWM</x:v>
      </x:c>
      <x:c r="D40" s="8" t="str">
        <x:v>Regulador PWM 30ah</x:v>
      </x:c>
      <x:c r="E40" s="8" t="str">
        <x:v>rp-30.png</x:v>
      </x:c>
      <x:c r="F40" s="30"/>
      <x:c r="G40" s="34" t="n">
        <x:v>0</x:v>
      </x:c>
      <x:c r="H40" s="30"/>
      <x:c r="I40" s="32" t="str">
        <x:f>IF(H40&lt;&gt;"",H40,IF(F40="","",ROUND((F40*(1+Ajustes!$B$3/100)*(1+IFERROR(VLOOKUP(B40,Ajustes!$A$7:$B$24,2,FALSE),0)/100)*(1+G40/100))/Ajustes!$B$4,0)*Ajustes!$B$4))</x:f>
      </x:c>
      <x:c r="J40" t="n">
        <x:v>6</x:v>
      </x:c>
    </x:row>
    <x:row r="41">
      <x:c r="A41" t="str">
        <x:v>RP.40</x:v>
      </x:c>
      <x:c r="B41" t="str">
        <x:v>Reguladores</x:v>
      </x:c>
      <x:c r="C41" s="8" t="str">
        <x:v>Reguladores Solares PWM</x:v>
      </x:c>
      <x:c r="D41" s="8" t="str">
        <x:v>Regulador PWM 40ah</x:v>
      </x:c>
      <x:c r="E41" s="8" t="str">
        <x:v>rp-40.png</x:v>
      </x:c>
      <x:c r="F41" s="30"/>
      <x:c r="G41" s="34" t="n">
        <x:v>0</x:v>
      </x:c>
      <x:c r="H41" s="30"/>
      <x:c r="I41" s="32" t="str">
        <x:f>IF(H41&lt;&gt;"",H41,IF(F41="","",ROUND((F41*(1+Ajustes!$B$3/100)*(1+IFERROR(VLOOKUP(B41,Ajustes!$A$7:$B$24,2,FALSE),0)/100)*(1+G41/100))/Ajustes!$B$4,0)*Ajustes!$B$4))</x:f>
      </x:c>
      <x:c r="J41" t="n">
        <x:v>6</x:v>
      </x:c>
    </x:row>
    <x:row r="42">
      <x:c r="A42" t="str">
        <x:v>RP.60</x:v>
      </x:c>
      <x:c r="B42" t="str">
        <x:v>Reguladores</x:v>
      </x:c>
      <x:c r="C42" s="8" t="str">
        <x:v>Reguladores Solares PWM</x:v>
      </x:c>
      <x:c r="D42" s="8" t="str">
        <x:v>Regulador PWM 60ah</x:v>
      </x:c>
      <x:c r="E42" s="8" t="str">
        <x:v>rp-60.png</x:v>
      </x:c>
      <x:c r="F42" s="30"/>
      <x:c r="G42" s="34" t="n">
        <x:v>0</x:v>
      </x:c>
      <x:c r="H42" s="30"/>
      <x:c r="I42" s="32" t="str">
        <x:f>IF(H42&lt;&gt;"",H42,IF(F42="","",ROUND((F42*(1+Ajustes!$B$3/100)*(1+IFERROR(VLOOKUP(B42,Ajustes!$A$7:$B$24,2,FALSE),0)/100)*(1+G42/100))/Ajustes!$B$4,0)*Ajustes!$B$4))</x:f>
      </x:c>
      <x:c r="J42" t="n">
        <x:v>6</x:v>
      </x:c>
    </x:row>
    <x:row r="43">
      <x:c r="A43" t="str">
        <x:v>RP.80</x:v>
      </x:c>
      <x:c r="B43" t="str">
        <x:v>Reguladores</x:v>
      </x:c>
      <x:c r="C43" s="8" t="str">
        <x:v>Reguladores Solares PWM</x:v>
      </x:c>
      <x:c r="D43" s="8" t="str">
        <x:v>Regulador PWM 80ah</x:v>
      </x:c>
      <x:c r="E43" s="8" t="str">
        <x:v>rp-80.png</x:v>
      </x:c>
      <x:c r="F43" s="30"/>
      <x:c r="G43" s="34" t="n">
        <x:v>0</x:v>
      </x:c>
      <x:c r="H43" s="30"/>
      <x:c r="I43" s="32" t="str">
        <x:f>IF(H43&lt;&gt;"",H43,IF(F43="","",ROUND((F43*(1+Ajustes!$B$3/100)*(1+IFERROR(VLOOKUP(B43,Ajustes!$A$7:$B$24,2,FALSE),0)/100)*(1+G43/100))/Ajustes!$B$4,0)*Ajustes!$B$4))</x:f>
      </x:c>
      <x:c r="J43" t="n">
        <x:v>6</x:v>
      </x:c>
    </x:row>
    <x:row r="44">
      <x:c r="A44" t="str">
        <x:v>II.1000.12</x:v>
      </x:c>
      <x:c r="B44" t="str">
        <x:v>Inversores</x:v>
      </x:c>
      <x:c r="C44" s="8" t="str">
        <x:v>Inversores Inteligentes OFF GRID</x:v>
      </x:c>
      <x:c r="D44" s="8" t="str">
        <x:v>Inversor Inteligente BELTTT 1000W</x:v>
      </x:c>
      <x:c r="E44" s="8" t="str">
        <x:v>ii-1000-12.png</x:v>
      </x:c>
      <x:c r="F44" s="30"/>
      <x:c r="G44" s="34" t="n">
        <x:v>0</x:v>
      </x:c>
      <x:c r="H44" s="30"/>
      <x:c r="I44" s="32" t="str">
        <x:f>IF(H44&lt;&gt;"",H44,IF(F44="","",ROUND((F44*(1+Ajustes!$B$3/100)*(1+IFERROR(VLOOKUP(B44,Ajustes!$A$7:$B$24,2,FALSE),0)/100)*(1+G44/100))/Ajustes!$B$4,0)*Ajustes!$B$4))</x:f>
      </x:c>
      <x:c r="J44" t="n">
        <x:v>6</x:v>
      </x:c>
    </x:row>
    <x:row r="45">
      <x:c r="A45" t="str">
        <x:v>II.2000.12</x:v>
      </x:c>
      <x:c r="B45" t="str">
        <x:v>Inversores</x:v>
      </x:c>
      <x:c r="C45" s="8" t="str">
        <x:v>Inversores Inteligentes OFF GRID</x:v>
      </x:c>
      <x:c r="D45" s="8" t="str">
        <x:v>Inversor Inteligente BELTTT 2000W</x:v>
      </x:c>
      <x:c r="E45" s="8" t="str">
        <x:v>ii-2000-12.png</x:v>
      </x:c>
      <x:c r="F45" s="30"/>
      <x:c r="G45" s="34" t="n">
        <x:v>0</x:v>
      </x:c>
      <x:c r="H45" s="30"/>
      <x:c r="I45" s="32" t="str">
        <x:f>IF(H45&lt;&gt;"",H45,IF(F45="","",ROUND((F45*(1+Ajustes!$B$3/100)*(1+IFERROR(VLOOKUP(B45,Ajustes!$A$7:$B$24,2,FALSE),0)/100)*(1+G45/100))/Ajustes!$B$4,0)*Ajustes!$B$4))</x:f>
      </x:c>
      <x:c r="J45" t="n">
        <x:v>6</x:v>
      </x:c>
    </x:row>
    <x:row r="46">
      <x:c r="A46" t="str">
        <x:v>II.3000.B24</x:v>
      </x:c>
      <x:c r="B46" t="str">
        <x:v>Inversores</x:v>
      </x:c>
      <x:c r="C46" s="8" t="str">
        <x:v>Inversores Inteligentes OFF GRID</x:v>
      </x:c>
      <x:c r="D46" s="8" t="str">
        <x:v>Inversor Inteligente BELTTT 4200W</x:v>
      </x:c>
      <x:c r="E46" s="8" t="str">
        <x:v>ii-3000-b24.png</x:v>
      </x:c>
      <x:c r="F46" s="30"/>
      <x:c r="G46" s="34" t="n">
        <x:v>0</x:v>
      </x:c>
      <x:c r="H46" s="30"/>
      <x:c r="I46" s="32" t="str">
        <x:f>IF(H46&lt;&gt;"",H46,IF(F46="","",ROUND((F46*(1+Ajustes!$B$3/100)*(1+IFERROR(VLOOKUP(B46,Ajustes!$A$7:$B$24,2,FALSE),0)/100)*(1+G46/100))/Ajustes!$B$4,0)*Ajustes!$B$4))</x:f>
      </x:c>
      <x:c r="J46" t="n">
        <x:v>6</x:v>
      </x:c>
    </x:row>
    <x:row r="47">
      <x:c r="A47" t="str">
        <x:v>II.1000.12V</x:v>
      </x:c>
      <x:c r="B47" t="str">
        <x:v>Inversores</x:v>
      </x:c>
      <x:c r="C47" s="8" t="str">
        <x:v>Inversores Inteligentes OFF GRID</x:v>
      </x:c>
      <x:c r="D47" s="8" t="str">
        <x:v>Inversor Inteligente VOLTRONIK 1000W</x:v>
      </x:c>
      <x:c r="E47" s="8" t="str">
        <x:v>ii-1000-12v.png</x:v>
      </x:c>
      <x:c r="F47" s="30"/>
      <x:c r="G47" s="34" t="n">
        <x:v>0</x:v>
      </x:c>
      <x:c r="H47" s="30"/>
      <x:c r="I47" s="32" t="str">
        <x:f>IF(H47&lt;&gt;"",H47,IF(F47="","",ROUND((F47*(1+Ajustes!$B$3/100)*(1+IFERROR(VLOOKUP(B47,Ajustes!$A$7:$B$24,2,FALSE),0)/100)*(1+G47/100))/Ajustes!$B$4,0)*Ajustes!$B$4))</x:f>
      </x:c>
      <x:c r="J47" t="n">
        <x:v>6</x:v>
      </x:c>
    </x:row>
    <x:row r="48">
      <x:c r="A48" t="str">
        <x:v>II.2000.24V</x:v>
      </x:c>
      <x:c r="B48" t="str">
        <x:v>Inversores</x:v>
      </x:c>
      <x:c r="C48" s="8" t="str">
        <x:v>Inversores Inteligentes OFF GRID</x:v>
      </x:c>
      <x:c r="D48" s="8" t="str">
        <x:v>Inversor Inteligente VOLTRONIK 2000W</x:v>
      </x:c>
      <x:c r="E48" s="8" t="str">
        <x:v>ii-2000-24v.png</x:v>
      </x:c>
      <x:c r="F48" s="30"/>
      <x:c r="G48" s="34" t="n">
        <x:v>0</x:v>
      </x:c>
      <x:c r="H48" s="30"/>
      <x:c r="I48" s="32" t="str">
        <x:f>IF(H48&lt;&gt;"",H48,IF(F48="","",ROUND((F48*(1+Ajustes!$B$3/100)*(1+IFERROR(VLOOKUP(B48,Ajustes!$A$7:$B$24,2,FALSE),0)/100)*(1+G48/100))/Ajustes!$B$4,0)*Ajustes!$B$4))</x:f>
      </x:c>
      <x:c r="J48" t="n">
        <x:v>7</x:v>
      </x:c>
    </x:row>
    <x:row r="49">
      <x:c r="A49" t="str">
        <x:v>II.3000.24V</x:v>
      </x:c>
      <x:c r="B49" t="str">
        <x:v>Inversores</x:v>
      </x:c>
      <x:c r="C49" s="8" t="str">
        <x:v>Inversores Inteligentes OFF GRID</x:v>
      </x:c>
      <x:c r="D49" s="8" t="str">
        <x:v>Inversor Inteligente VOLTRONIK 3000W</x:v>
      </x:c>
      <x:c r="E49" s="8" t="str">
        <x:v>ii-3000-24v.png</x:v>
      </x:c>
      <x:c r="F49" s="30"/>
      <x:c r="G49" s="34" t="n">
        <x:v>0</x:v>
      </x:c>
      <x:c r="H49" s="30"/>
      <x:c r="I49" s="32" t="str">
        <x:f>IF(H49&lt;&gt;"",H49,IF(F49="","",ROUND((F49*(1+Ajustes!$B$3/100)*(1+IFERROR(VLOOKUP(B49,Ajustes!$A$7:$B$24,2,FALSE),0)/100)*(1+G49/100))/Ajustes!$B$4,0)*Ajustes!$B$4))</x:f>
      </x:c>
      <x:c r="J49" t="n">
        <x:v>7</x:v>
      </x:c>
    </x:row>
    <x:row r="50">
      <x:c r="A50" t="str">
        <x:v>II.2000.24</x:v>
      </x:c>
      <x:c r="B50" t="str">
        <x:v>Inversores</x:v>
      </x:c>
      <x:c r="C50" s="8" t="str">
        <x:v>Inversores Inteligentes OFF GRID</x:v>
      </x:c>
      <x:c r="D50" s="8" t="str">
        <x:v>Inversor Inteligente MUST 2000W</x:v>
      </x:c>
      <x:c r="E50" s="8" t="str">
        <x:v>ii-2000-24.png</x:v>
      </x:c>
      <x:c r="F50" s="30"/>
      <x:c r="G50" s="34" t="n">
        <x:v>0</x:v>
      </x:c>
      <x:c r="H50" s="30"/>
      <x:c r="I50" s="32" t="str">
        <x:f>IF(H50&lt;&gt;"",H50,IF(F50="","",ROUND((F50*(1+Ajustes!$B$3/100)*(1+IFERROR(VLOOKUP(B50,Ajustes!$A$7:$B$24,2,FALSE),0)/100)*(1+G50/100))/Ajustes!$B$4,0)*Ajustes!$B$4))</x:f>
      </x:c>
      <x:c r="J50" t="n">
        <x:v>7</x:v>
      </x:c>
    </x:row>
    <x:row r="51">
      <x:c r="A51" t="str">
        <x:v>II.3000.24</x:v>
      </x:c>
      <x:c r="B51" t="str">
        <x:v>Inversores</x:v>
      </x:c>
      <x:c r="C51" s="8" t="str">
        <x:v>Inversores Inteligentes OFF GRID</x:v>
      </x:c>
      <x:c r="D51" s="8" t="str">
        <x:v>Inversor Inteligente MUST 3000W</x:v>
      </x:c>
      <x:c r="E51" s="8" t="str">
        <x:v>ii-3000-24.png</x:v>
      </x:c>
      <x:c r="F51" s="30"/>
      <x:c r="G51" s="34" t="n">
        <x:v>0</x:v>
      </x:c>
      <x:c r="H51" s="30"/>
      <x:c r="I51" s="32" t="str">
        <x:f>IF(H51&lt;&gt;"",H51,IF(F51="","",ROUND((F51*(1+Ajustes!$B$3/100)*(1+IFERROR(VLOOKUP(B51,Ajustes!$A$7:$B$24,2,FALSE),0)/100)*(1+G51/100))/Ajustes!$B$4,0)*Ajustes!$B$4))</x:f>
      </x:c>
      <x:c r="J51" t="n">
        <x:v>7</x:v>
      </x:c>
    </x:row>
    <x:row r="52">
      <x:c r="A52" t="str">
        <x:v>IPP.1000.12</x:v>
      </x:c>
      <x:c r="B52" t="str">
        <x:v>Inversores</x:v>
      </x:c>
      <x:c r="C52" s="8" t="str">
        <x:v>Inversores Onda Pura</x:v>
      </x:c>
      <x:c r="D52" s="8" t="str">
        <x:v>Inversor Onda Pura PROBATTERY 1000W</x:v>
      </x:c>
      <x:c r="E52" s="8" t="str">
        <x:v>ipp-1000-12.png</x:v>
      </x:c>
      <x:c r="F52" s="30"/>
      <x:c r="G52" s="34" t="n">
        <x:v>0</x:v>
      </x:c>
      <x:c r="H52" s="30"/>
      <x:c r="I52" s="32" t="str">
        <x:f>IF(H52&lt;&gt;"",H52,IF(F52="","",ROUND((F52*(1+Ajustes!$B$3/100)*(1+IFERROR(VLOOKUP(B52,Ajustes!$A$7:$B$24,2,FALSE),0)/100)*(1+G52/100))/Ajustes!$B$4,0)*Ajustes!$B$4))</x:f>
      </x:c>
      <x:c r="J52" t="n">
        <x:v>7</x:v>
      </x:c>
    </x:row>
    <x:row r="53">
      <x:c r="A53" t="str">
        <x:v>IPP.1500.12</x:v>
      </x:c>
      <x:c r="B53" t="str">
        <x:v>Inversores</x:v>
      </x:c>
      <x:c r="C53" s="8" t="str">
        <x:v>Inversores Onda Pura</x:v>
      </x:c>
      <x:c r="D53" s="8" t="str">
        <x:v>Inversor Onda Pura PROBATTERY 1500W</x:v>
      </x:c>
      <x:c r="E53" s="8" t="str">
        <x:v>ipp-1500-12.png</x:v>
      </x:c>
      <x:c r="F53" s="30"/>
      <x:c r="G53" s="34" t="n">
        <x:v>0</x:v>
      </x:c>
      <x:c r="H53" s="30"/>
      <x:c r="I53" s="32" t="str">
        <x:f>IF(H53&lt;&gt;"",H53,IF(F53="","",ROUND((F53*(1+Ajustes!$B$3/100)*(1+IFERROR(VLOOKUP(B53,Ajustes!$A$7:$B$24,2,FALSE),0)/100)*(1+G53/100))/Ajustes!$B$4,0)*Ajustes!$B$4))</x:f>
      </x:c>
      <x:c r="J53" t="n">
        <x:v>7</x:v>
      </x:c>
    </x:row>
    <x:row r="54">
      <x:c r="A54" t="str">
        <x:v>IPP.3000.12</x:v>
      </x:c>
      <x:c r="B54" t="str">
        <x:v>Inversores</x:v>
      </x:c>
      <x:c r="C54" s="8" t="str">
        <x:v>Inversores Onda Pura</x:v>
      </x:c>
      <x:c r="D54" s="8" t="str">
        <x:v>Inversor Onda Pura PROBATTERY 3000W</x:v>
      </x:c>
      <x:c r="E54" s="8" t="str">
        <x:v>ipp-3000-12.png</x:v>
      </x:c>
      <x:c r="F54" s="30"/>
      <x:c r="G54" s="34" t="n">
        <x:v>0</x:v>
      </x:c>
      <x:c r="H54" s="30"/>
      <x:c r="I54" s="32" t="str">
        <x:f>IF(H54&lt;&gt;"",H54,IF(F54="","",ROUND((F54*(1+Ajustes!$B$3/100)*(1+IFERROR(VLOOKUP(B54,Ajustes!$A$7:$B$24,2,FALSE),0)/100)*(1+G54/100))/Ajustes!$B$4,0)*Ajustes!$B$4))</x:f>
      </x:c>
      <x:c r="J54" t="n">
        <x:v>7</x:v>
      </x:c>
    </x:row>
    <x:row r="55">
      <x:c r="A55" t="str">
        <x:v>IP.300.12</x:v>
      </x:c>
      <x:c r="B55" t="str">
        <x:v>Inversores</x:v>
      </x:c>
      <x:c r="C55" s="8" t="str">
        <x:v>Inversores Onda Pura</x:v>
      </x:c>
      <x:c r="D55" s="8" t="str">
        <x:v>Inversor Onda Pura 300W</x:v>
      </x:c>
      <x:c r="E55" s="8" t="str">
        <x:v>ip-300-12.png</x:v>
      </x:c>
      <x:c r="F55" s="30"/>
      <x:c r="G55" s="34" t="n">
        <x:v>0</x:v>
      </x:c>
      <x:c r="H55" s="30"/>
      <x:c r="I55" s="32" t="str">
        <x:f>IF(H55&lt;&gt;"",H55,IF(F55="","",ROUND((F55*(1+Ajustes!$B$3/100)*(1+IFERROR(VLOOKUP(B55,Ajustes!$A$7:$B$24,2,FALSE),0)/100)*(1+G55/100))/Ajustes!$B$4,0)*Ajustes!$B$4))</x:f>
      </x:c>
      <x:c r="J55" t="n">
        <x:v>7</x:v>
      </x:c>
    </x:row>
    <x:row r="56">
      <x:c r="A56" t="str">
        <x:v>IP.500.12</x:v>
      </x:c>
      <x:c r="B56" t="str">
        <x:v>Inversores</x:v>
      </x:c>
      <x:c r="C56" s="8" t="str">
        <x:v>Inversores Onda Pura</x:v>
      </x:c>
      <x:c r="D56" s="8" t="str">
        <x:v>Inversor Onda Pura 500W</x:v>
      </x:c>
      <x:c r="E56" s="8" t="str">
        <x:v>ip-500-12.png</x:v>
      </x:c>
      <x:c r="F56" s="30"/>
      <x:c r="G56" s="34" t="n">
        <x:v>0</x:v>
      </x:c>
      <x:c r="H56" s="30"/>
      <x:c r="I56" s="32" t="str">
        <x:f>IF(H56&lt;&gt;"",H56,IF(F56="","",ROUND((F56*(1+Ajustes!$B$3/100)*(1+IFERROR(VLOOKUP(B56,Ajustes!$A$7:$B$24,2,FALSE),0)/100)*(1+G56/100))/Ajustes!$B$4,0)*Ajustes!$B$4))</x:f>
      </x:c>
      <x:c r="J56" t="n">
        <x:v>8</x:v>
      </x:c>
    </x:row>
    <x:row r="57">
      <x:c r="A57" t="str">
        <x:v>IP.1000.12</x:v>
      </x:c>
      <x:c r="B57" t="str">
        <x:v>Inversores</x:v>
      </x:c>
      <x:c r="C57" s="8" t="str">
        <x:v>Inversores Onda Pura</x:v>
      </x:c>
      <x:c r="D57" s="8" t="str">
        <x:v>Inversor Onda Pura 1000W</x:v>
      </x:c>
      <x:c r="E57" s="8" t="str">
        <x:v>ip-1000-12.png</x:v>
      </x:c>
      <x:c r="F57" s="30"/>
      <x:c r="G57" s="34" t="n">
        <x:v>0</x:v>
      </x:c>
      <x:c r="H57" s="30"/>
      <x:c r="I57" s="32" t="str">
        <x:f>IF(H57&lt;&gt;"",H57,IF(F57="","",ROUND((F57*(1+Ajustes!$B$3/100)*(1+IFERROR(VLOOKUP(B57,Ajustes!$A$7:$B$24,2,FALSE),0)/100)*(1+G57/100))/Ajustes!$B$4,0)*Ajustes!$B$4))</x:f>
      </x:c>
      <x:c r="J57" t="n">
        <x:v>8</x:v>
      </x:c>
    </x:row>
    <x:row r="58">
      <x:c r="A58" t="str">
        <x:v>IP.1500.12</x:v>
      </x:c>
      <x:c r="B58" t="str">
        <x:v>Inversores</x:v>
      </x:c>
      <x:c r="C58" s="8" t="str">
        <x:v>Inversores Onda Pura</x:v>
      </x:c>
      <x:c r="D58" s="8" t="str">
        <x:v>Inversor Onda Pura 1500W</x:v>
      </x:c>
      <x:c r="E58" s="8" t="str">
        <x:v>ip-1500-12.png</x:v>
      </x:c>
      <x:c r="F58" s="30"/>
      <x:c r="G58" s="34" t="n">
        <x:v>0</x:v>
      </x:c>
      <x:c r="H58" s="30"/>
      <x:c r="I58" s="32" t="str">
        <x:f>IF(H58&lt;&gt;"",H58,IF(F58="","",ROUND((F58*(1+Ajustes!$B$3/100)*(1+IFERROR(VLOOKUP(B58,Ajustes!$A$7:$B$24,2,FALSE),0)/100)*(1+G58/100))/Ajustes!$B$4,0)*Ajustes!$B$4))</x:f>
      </x:c>
      <x:c r="J58" t="n">
        <x:v>8</x:v>
      </x:c>
    </x:row>
    <x:row r="59">
      <x:c r="A59" t="str">
        <x:v>IP.2000.12</x:v>
      </x:c>
      <x:c r="B59" t="str">
        <x:v>Inversores</x:v>
      </x:c>
      <x:c r="C59" s="8" t="str">
        <x:v>Inversores Onda Pura</x:v>
      </x:c>
      <x:c r="D59" s="8" t="str">
        <x:v>Inversor Onda Pura 2000W</x:v>
      </x:c>
      <x:c r="E59" s="8" t="str">
        <x:v>ip-2000-12.png</x:v>
      </x:c>
      <x:c r="F59" s="30"/>
      <x:c r="G59" s="34" t="n">
        <x:v>0</x:v>
      </x:c>
      <x:c r="H59" s="30"/>
      <x:c r="I59" s="32" t="str">
        <x:f>IF(H59&lt;&gt;"",H59,IF(F59="","",ROUND((F59*(1+Ajustes!$B$3/100)*(1+IFERROR(VLOOKUP(B59,Ajustes!$A$7:$B$24,2,FALSE),0)/100)*(1+G59/100))/Ajustes!$B$4,0)*Ajustes!$B$4))</x:f>
      </x:c>
      <x:c r="J59" t="n">
        <x:v>8</x:v>
      </x:c>
    </x:row>
    <x:row r="60">
      <x:c r="A60" t="str">
        <x:v>IP.300.24</x:v>
      </x:c>
      <x:c r="B60" t="str">
        <x:v>Inversores</x:v>
      </x:c>
      <x:c r="C60" s="8" t="str">
        <x:v>Inversores Onda Pura</x:v>
      </x:c>
      <x:c r="D60" s="8" t="str">
        <x:v>Inversor Onda Pura 300W</x:v>
      </x:c>
      <x:c r="E60" s="8" t="str">
        <x:v>ip-300-24.png</x:v>
      </x:c>
      <x:c r="F60" s="30"/>
      <x:c r="G60" s="34" t="n">
        <x:v>0</x:v>
      </x:c>
      <x:c r="H60" s="30"/>
      <x:c r="I60" s="32" t="str">
        <x:f>IF(H60&lt;&gt;"",H60,IF(F60="","",ROUND((F60*(1+Ajustes!$B$3/100)*(1+IFERROR(VLOOKUP(B60,Ajustes!$A$7:$B$24,2,FALSE),0)/100)*(1+G60/100))/Ajustes!$B$4,0)*Ajustes!$B$4))</x:f>
      </x:c>
      <x:c r="J60" t="n">
        <x:v>8</x:v>
      </x:c>
    </x:row>
    <x:row r="61">
      <x:c r="A61" t="str">
        <x:v>IP.500.24</x:v>
      </x:c>
      <x:c r="B61" t="str">
        <x:v>Inversores</x:v>
      </x:c>
      <x:c r="C61" s="8" t="str">
        <x:v>Inversores Onda Pura</x:v>
      </x:c>
      <x:c r="D61" s="8" t="str">
        <x:v>Inversor Onda Pura 500W</x:v>
      </x:c>
      <x:c r="E61" s="8" t="str">
        <x:v>ip-500-24.png</x:v>
      </x:c>
      <x:c r="F61" s="30"/>
      <x:c r="G61" s="34" t="n">
        <x:v>0</x:v>
      </x:c>
      <x:c r="H61" s="30"/>
      <x:c r="I61" s="32" t="str">
        <x:f>IF(H61&lt;&gt;"",H61,IF(F61="","",ROUND((F61*(1+Ajustes!$B$3/100)*(1+IFERROR(VLOOKUP(B61,Ajustes!$A$7:$B$24,2,FALSE),0)/100)*(1+G61/100))/Ajustes!$B$4,0)*Ajustes!$B$4))</x:f>
      </x:c>
      <x:c r="J61" t="n">
        <x:v>8</x:v>
      </x:c>
    </x:row>
    <x:row r="62">
      <x:c r="A62" t="str">
        <x:v>IP.1000.24</x:v>
      </x:c>
      <x:c r="B62" t="str">
        <x:v>Inversores</x:v>
      </x:c>
      <x:c r="C62" s="8" t="str">
        <x:v>Inversores Onda Pura</x:v>
      </x:c>
      <x:c r="D62" s="8" t="str">
        <x:v>Inversor Onda Pura 1000W</x:v>
      </x:c>
      <x:c r="E62" s="8" t="str">
        <x:v>ip-1000-24.png</x:v>
      </x:c>
      <x:c r="F62" s="30"/>
      <x:c r="G62" s="34" t="n">
        <x:v>0</x:v>
      </x:c>
      <x:c r="H62" s="30"/>
      <x:c r="I62" s="32" t="str">
        <x:f>IF(H62&lt;&gt;"",H62,IF(F62="","",ROUND((F62*(1+Ajustes!$B$3/100)*(1+IFERROR(VLOOKUP(B62,Ajustes!$A$7:$B$24,2,FALSE),0)/100)*(1+G62/100))/Ajustes!$B$4,0)*Ajustes!$B$4))</x:f>
      </x:c>
      <x:c r="J62" t="n">
        <x:v>8</x:v>
      </x:c>
    </x:row>
    <x:row r="63">
      <x:c r="A63" t="str">
        <x:v>IP.1500.24</x:v>
      </x:c>
      <x:c r="B63" t="str">
        <x:v>Inversores</x:v>
      </x:c>
      <x:c r="C63" s="8" t="str">
        <x:v>Inversores Onda Pura</x:v>
      </x:c>
      <x:c r="D63" s="8" t="str">
        <x:v>Inversor Onda Pura 1500W</x:v>
      </x:c>
      <x:c r="E63" s="8" t="str">
        <x:v>ip-1500-24.png</x:v>
      </x:c>
      <x:c r="F63" s="30"/>
      <x:c r="G63" s="34" t="n">
        <x:v>0</x:v>
      </x:c>
      <x:c r="H63" s="30"/>
      <x:c r="I63" s="32" t="str">
        <x:f>IF(H63&lt;&gt;"",H63,IF(F63="","",ROUND((F63*(1+Ajustes!$B$3/100)*(1+IFERROR(VLOOKUP(B63,Ajustes!$A$7:$B$24,2,FALSE),0)/100)*(1+G63/100))/Ajustes!$B$4,0)*Ajustes!$B$4))</x:f>
      </x:c>
      <x:c r="J63" t="n">
        <x:v>8</x:v>
      </x:c>
    </x:row>
    <x:row r="64">
      <x:c r="A64" t="str">
        <x:v>IP.2000.24</x:v>
      </x:c>
      <x:c r="B64" t="str">
        <x:v>Inversores</x:v>
      </x:c>
      <x:c r="C64" s="8" t="str">
        <x:v>Inversores Onda Pura</x:v>
      </x:c>
      <x:c r="D64" s="8" t="str">
        <x:v>Inversor Onda Pura 2000W</x:v>
      </x:c>
      <x:c r="E64" s="8" t="str">
        <x:v>ip-2000-24.png</x:v>
      </x:c>
      <x:c r="F64" s="30"/>
      <x:c r="G64" s="34" t="n">
        <x:v>0</x:v>
      </x:c>
      <x:c r="H64" s="30"/>
      <x:c r="I64" s="32" t="str">
        <x:f>IF(H64&lt;&gt;"",H64,IF(F64="","",ROUND((F64*(1+Ajustes!$B$3/100)*(1+IFERROR(VLOOKUP(B64,Ajustes!$A$7:$B$24,2,FALSE),0)/100)*(1+G64/100))/Ajustes!$B$4,0)*Ajustes!$B$4))</x:f>
      </x:c>
      <x:c r="J64" t="n">
        <x:v>9</x:v>
      </x:c>
    </x:row>
    <x:row r="65">
      <x:c r="A65" t="str">
        <x:v>IP.3000.24</x:v>
      </x:c>
      <x:c r="B65" t="str">
        <x:v>Inversores</x:v>
      </x:c>
      <x:c r="C65" s="8" t="str">
        <x:v>Inversores Onda Pura</x:v>
      </x:c>
      <x:c r="D65" s="8" t="str">
        <x:v>Inversor Onda Pura 3000W</x:v>
      </x:c>
      <x:c r="E65" s="8" t="str">
        <x:v>ip-3000-24.png</x:v>
      </x:c>
      <x:c r="F65" s="30"/>
      <x:c r="G65" s="34" t="n">
        <x:v>0</x:v>
      </x:c>
      <x:c r="H65" s="30"/>
      <x:c r="I65" s="32" t="str">
        <x:f>IF(H65&lt;&gt;"",H65,IF(F65="","",ROUND((F65*(1+Ajustes!$B$3/100)*(1+IFERROR(VLOOKUP(B65,Ajustes!$A$7:$B$24,2,FALSE),0)/100)*(1+G65/100))/Ajustes!$B$4,0)*Ajustes!$B$4))</x:f>
      </x:c>
      <x:c r="J65" t="n">
        <x:v>9</x:v>
      </x:c>
    </x:row>
    <x:row r="66">
      <x:c r="A66" t="str">
        <x:v>IM.300.12</x:v>
      </x:c>
      <x:c r="B66" t="str">
        <x:v>Inversores</x:v>
      </x:c>
      <x:c r="C66" s="8" t="str">
        <x:v>Inversores Onda Modificada</x:v>
      </x:c>
      <x:c r="D66" s="8" t="str">
        <x:v>Inversor Onda Modificada 300W</x:v>
      </x:c>
      <x:c r="E66" s="8" t="str">
        <x:v>im-300-12.png</x:v>
      </x:c>
      <x:c r="F66" s="30"/>
      <x:c r="G66" s="34" t="n">
        <x:v>0</x:v>
      </x:c>
      <x:c r="H66" s="30"/>
      <x:c r="I66" s="32" t="str">
        <x:f>IF(H66&lt;&gt;"",H66,IF(F66="","",ROUND((F66*(1+Ajustes!$B$3/100)*(1+IFERROR(VLOOKUP(B66,Ajustes!$A$7:$B$24,2,FALSE),0)/100)*(1+G66/100))/Ajustes!$B$4,0)*Ajustes!$B$4))</x:f>
      </x:c>
      <x:c r="J66" t="n">
        <x:v>9</x:v>
      </x:c>
    </x:row>
    <x:row r="67">
      <x:c r="A67" t="str">
        <x:v>IM.500.12</x:v>
      </x:c>
      <x:c r="B67" t="str">
        <x:v>Inversores</x:v>
      </x:c>
      <x:c r="C67" s="8" t="str">
        <x:v>Inversores Onda Modificada</x:v>
      </x:c>
      <x:c r="D67" s="8" t="str">
        <x:v>Inversor Onda Modificada 500W</x:v>
      </x:c>
      <x:c r="E67" s="8" t="str">
        <x:v>im-500-12.png</x:v>
      </x:c>
      <x:c r="F67" s="30"/>
      <x:c r="G67" s="34" t="n">
        <x:v>0</x:v>
      </x:c>
      <x:c r="H67" s="30"/>
      <x:c r="I67" s="32" t="str">
        <x:f>IF(H67&lt;&gt;"",H67,IF(F67="","",ROUND((F67*(1+Ajustes!$B$3/100)*(1+IFERROR(VLOOKUP(B67,Ajustes!$A$7:$B$24,2,FALSE),0)/100)*(1+G67/100))/Ajustes!$B$4,0)*Ajustes!$B$4))</x:f>
      </x:c>
      <x:c r="J67" t="n">
        <x:v>9</x:v>
      </x:c>
    </x:row>
    <x:row r="68">
      <x:c r="A68" t="str">
        <x:v>IM.1000.12</x:v>
      </x:c>
      <x:c r="B68" t="str">
        <x:v>Inversores</x:v>
      </x:c>
      <x:c r="C68" s="8" t="str">
        <x:v>Inversores Onda Modificada</x:v>
      </x:c>
      <x:c r="D68" s="8" t="str">
        <x:v>Inversor Onda Modificada 1000W</x:v>
      </x:c>
      <x:c r="E68" s="8" t="str">
        <x:v>im-1000-12.png</x:v>
      </x:c>
      <x:c r="F68" s="30"/>
      <x:c r="G68" s="34" t="n">
        <x:v>0</x:v>
      </x:c>
      <x:c r="H68" s="30"/>
      <x:c r="I68" s="32" t="str">
        <x:f>IF(H68&lt;&gt;"",H68,IF(F68="","",ROUND((F68*(1+Ajustes!$B$3/100)*(1+IFERROR(VLOOKUP(B68,Ajustes!$A$7:$B$24,2,FALSE),0)/100)*(1+G68/100))/Ajustes!$B$4,0)*Ajustes!$B$4))</x:f>
      </x:c>
      <x:c r="J68" t="n">
        <x:v>9</x:v>
      </x:c>
    </x:row>
    <x:row r="69">
      <x:c r="A69" t="str">
        <x:v>IM.1500.12</x:v>
      </x:c>
      <x:c r="B69" t="str">
        <x:v>Inversores</x:v>
      </x:c>
      <x:c r="C69" s="8" t="str">
        <x:v>Inversores Onda Modificada</x:v>
      </x:c>
      <x:c r="D69" s="8" t="str">
        <x:v>Inversor Onda Modificada 1500W</x:v>
      </x:c>
      <x:c r="E69" s="8" t="str">
        <x:v>im-1500-12.png</x:v>
      </x:c>
      <x:c r="F69" s="30"/>
      <x:c r="G69" s="34" t="n">
        <x:v>0</x:v>
      </x:c>
      <x:c r="H69" s="30"/>
      <x:c r="I69" s="32" t="str">
        <x:f>IF(H69&lt;&gt;"",H69,IF(F69="","",ROUND((F69*(1+Ajustes!$B$3/100)*(1+IFERROR(VLOOKUP(B69,Ajustes!$A$7:$B$24,2,FALSE),0)/100)*(1+G69/100))/Ajustes!$B$4,0)*Ajustes!$B$4))</x:f>
      </x:c>
      <x:c r="J69" t="n">
        <x:v>9</x:v>
      </x:c>
    </x:row>
    <x:row r="70">
      <x:c r="A70" t="str">
        <x:v>IM.2000.12</x:v>
      </x:c>
      <x:c r="B70" t="str">
        <x:v>Inversores</x:v>
      </x:c>
      <x:c r="C70" s="8" t="str">
        <x:v>Inversores Onda Modificada</x:v>
      </x:c>
      <x:c r="D70" s="8" t="str">
        <x:v>Inversor Onda Modificada 2000W</x:v>
      </x:c>
      <x:c r="E70" s="8" t="str">
        <x:v>im-2000-12.png</x:v>
      </x:c>
      <x:c r="F70" s="30"/>
      <x:c r="G70" s="34" t="n">
        <x:v>0</x:v>
      </x:c>
      <x:c r="H70" s="30"/>
      <x:c r="I70" s="32" t="str">
        <x:f>IF(H70&lt;&gt;"",H70,IF(F70="","",ROUND((F70*(1+Ajustes!$B$3/100)*(1+IFERROR(VLOOKUP(B70,Ajustes!$A$7:$B$24,2,FALSE),0)/100)*(1+G70/100))/Ajustes!$B$4,0)*Ajustes!$B$4))</x:f>
      </x:c>
      <x:c r="J70" t="n">
        <x:v>9</x:v>
      </x:c>
    </x:row>
    <x:row r="71">
      <x:c r="A71" t="str">
        <x:v>IM.3000.12</x:v>
      </x:c>
      <x:c r="B71" t="str">
        <x:v>Inversores</x:v>
      </x:c>
      <x:c r="C71" s="8" t="str">
        <x:v>Inversores Onda Modificada</x:v>
      </x:c>
      <x:c r="D71" s="8" t="str">
        <x:v>Inversor Onda Modificada 3000W</x:v>
      </x:c>
      <x:c r="E71" s="8" t="str">
        <x:v>im-3000-12.png</x:v>
      </x:c>
      <x:c r="F71" s="30"/>
      <x:c r="G71" s="34" t="n">
        <x:v>0</x:v>
      </x:c>
      <x:c r="H71" s="30"/>
      <x:c r="I71" s="32" t="str">
        <x:f>IF(H71&lt;&gt;"",H71,IF(F71="","",ROUND((F71*(1+Ajustes!$B$3/100)*(1+IFERROR(VLOOKUP(B71,Ajustes!$A$7:$B$24,2,FALSE),0)/100)*(1+G71/100))/Ajustes!$B$4,0)*Ajustes!$B$4))</x:f>
      </x:c>
      <x:c r="J71" t="n">
        <x:v>9</x:v>
      </x:c>
    </x:row>
    <x:row r="72">
      <x:c r="A72" t="str">
        <x:v>IM.300.24</x:v>
      </x:c>
      <x:c r="B72" t="str">
        <x:v>Inversores</x:v>
      </x:c>
      <x:c r="C72" s="8" t="str">
        <x:v>Inversores Onda Modificada</x:v>
      </x:c>
      <x:c r="D72" s="8" t="str">
        <x:v>Inversor Onda Modificada 300W</x:v>
      </x:c>
      <x:c r="E72" s="8" t="str">
        <x:v>im-300-24.png</x:v>
      </x:c>
      <x:c r="F72" s="30"/>
      <x:c r="G72" s="34" t="n">
        <x:v>0</x:v>
      </x:c>
      <x:c r="H72" s="30"/>
      <x:c r="I72" s="32" t="str">
        <x:f>IF(H72&lt;&gt;"",H72,IF(F72="","",ROUND((F72*(1+Ajustes!$B$3/100)*(1+IFERROR(VLOOKUP(B72,Ajustes!$A$7:$B$24,2,FALSE),0)/100)*(1+G72/100))/Ajustes!$B$4,0)*Ajustes!$B$4))</x:f>
      </x:c>
      <x:c r="J72" t="n">
        <x:v>10</x:v>
      </x:c>
    </x:row>
    <x:row r="73">
      <x:c r="A73" t="str">
        <x:v>IM.500.24</x:v>
      </x:c>
      <x:c r="B73" t="str">
        <x:v>Inversores</x:v>
      </x:c>
      <x:c r="C73" s="8" t="str">
        <x:v>Inversores Onda Modificada</x:v>
      </x:c>
      <x:c r="D73" s="8" t="str">
        <x:v>Inversor Onda Modificada 500W</x:v>
      </x:c>
      <x:c r="E73" s="8" t="str">
        <x:v>im-500-24.png</x:v>
      </x:c>
      <x:c r="F73" s="30"/>
      <x:c r="G73" s="34" t="n">
        <x:v>0</x:v>
      </x:c>
      <x:c r="H73" s="30"/>
      <x:c r="I73" s="32" t="str">
        <x:f>IF(H73&lt;&gt;"",H73,IF(F73="","",ROUND((F73*(1+Ajustes!$B$3/100)*(1+IFERROR(VLOOKUP(B73,Ajustes!$A$7:$B$24,2,FALSE),0)/100)*(1+G73/100))/Ajustes!$B$4,0)*Ajustes!$B$4))</x:f>
      </x:c>
      <x:c r="J73" t="n">
        <x:v>10</x:v>
      </x:c>
    </x:row>
    <x:row r="74">
      <x:c r="A74" t="str">
        <x:v>IM.1000.24</x:v>
      </x:c>
      <x:c r="B74" t="str">
        <x:v>Inversores</x:v>
      </x:c>
      <x:c r="C74" s="8" t="str">
        <x:v>Inversores Onda Modificada</x:v>
      </x:c>
      <x:c r="D74" s="8" t="str">
        <x:v>Inversor Onda Modificada 1000W</x:v>
      </x:c>
      <x:c r="E74" s="8" t="str">
        <x:v>im-1000-24.png</x:v>
      </x:c>
      <x:c r="F74" s="30"/>
      <x:c r="G74" s="34" t="n">
        <x:v>0</x:v>
      </x:c>
      <x:c r="H74" s="30"/>
      <x:c r="I74" s="32" t="str">
        <x:f>IF(H74&lt;&gt;"",H74,IF(F74="","",ROUND((F74*(1+Ajustes!$B$3/100)*(1+IFERROR(VLOOKUP(B74,Ajustes!$A$7:$B$24,2,FALSE),0)/100)*(1+G74/100))/Ajustes!$B$4,0)*Ajustes!$B$4))</x:f>
      </x:c>
      <x:c r="J74" t="n">
        <x:v>10</x:v>
      </x:c>
    </x:row>
    <x:row r="75">
      <x:c r="A75" t="str">
        <x:v>IM.1500.24</x:v>
      </x:c>
      <x:c r="B75" t="str">
        <x:v>Inversores</x:v>
      </x:c>
      <x:c r="C75" s="8" t="str">
        <x:v>Inversores Onda Modificada</x:v>
      </x:c>
      <x:c r="D75" s="8" t="str">
        <x:v>Inversor Onda Modificada 1500W</x:v>
      </x:c>
      <x:c r="E75" s="8" t="str">
        <x:v>im-1500-24.png</x:v>
      </x:c>
      <x:c r="F75" s="30"/>
      <x:c r="G75" s="34" t="n">
        <x:v>0</x:v>
      </x:c>
      <x:c r="H75" s="30"/>
      <x:c r="I75" s="32" t="str">
        <x:f>IF(H75&lt;&gt;"",H75,IF(F75="","",ROUND((F75*(1+Ajustes!$B$3/100)*(1+IFERROR(VLOOKUP(B75,Ajustes!$A$7:$B$24,2,FALSE),0)/100)*(1+G75/100))/Ajustes!$B$4,0)*Ajustes!$B$4))</x:f>
      </x:c>
      <x:c r="J75" t="n">
        <x:v>10</x:v>
      </x:c>
    </x:row>
    <x:row r="76">
      <x:c r="A76" t="str">
        <x:v>IM.2000.24</x:v>
      </x:c>
      <x:c r="B76" t="str">
        <x:v>Inversores</x:v>
      </x:c>
      <x:c r="C76" s="8" t="str">
        <x:v>Inversores Onda Modificada</x:v>
      </x:c>
      <x:c r="D76" s="8" t="str">
        <x:v>Inversor Onda Modificada 2000W</x:v>
      </x:c>
      <x:c r="E76" s="8" t="str">
        <x:v>im-2000-24.png</x:v>
      </x:c>
      <x:c r="F76" s="30"/>
      <x:c r="G76" s="34" t="n">
        <x:v>0</x:v>
      </x:c>
      <x:c r="H76" s="30"/>
      <x:c r="I76" s="32" t="str">
        <x:f>IF(H76&lt;&gt;"",H76,IF(F76="","",ROUND((F76*(1+Ajustes!$B$3/100)*(1+IFERROR(VLOOKUP(B76,Ajustes!$A$7:$B$24,2,FALSE),0)/100)*(1+G76/100))/Ajustes!$B$4,0)*Ajustes!$B$4))</x:f>
      </x:c>
      <x:c r="J76" t="n">
        <x:v>10</x:v>
      </x:c>
    </x:row>
    <x:row r="77">
      <x:c r="A77" t="str">
        <x:v>IM.3000.24</x:v>
      </x:c>
      <x:c r="B77" t="str">
        <x:v>Inversores</x:v>
      </x:c>
      <x:c r="C77" s="8" t="str">
        <x:v>Inversores Onda Modificada</x:v>
      </x:c>
      <x:c r="D77" s="8" t="str">
        <x:v>Inversor Onda Modificada 3000W</x:v>
      </x:c>
      <x:c r="E77" s="8" t="str">
        <x:v>im-3000-24.png</x:v>
      </x:c>
      <x:c r="F77" s="30"/>
      <x:c r="G77" s="34" t="n">
        <x:v>0</x:v>
      </x:c>
      <x:c r="H77" s="30"/>
      <x:c r="I77" s="32" t="str">
        <x:f>IF(H77&lt;&gt;"",H77,IF(F77="","",ROUND((F77*(1+Ajustes!$B$3/100)*(1+IFERROR(VLOOKUP(B77,Ajustes!$A$7:$B$24,2,FALSE),0)/100)*(1+G77/100))/Ajustes!$B$4,0)*Ajustes!$B$4))</x:f>
      </x:c>
      <x:c r="J77" t="n">
        <x:v>10</x:v>
      </x:c>
    </x:row>
    <x:row r="78">
      <x:c r="A78" t="str">
        <x:v>BL.100.B24</x:v>
      </x:c>
      <x:c r="B78" t="str">
        <x:v>Baterías</x:v>
      </x:c>
      <x:c r="C78" s="8" t="str">
        <x:v>Baterias de Litio</x:v>
      </x:c>
      <x:c r="D78" s="8" t="str">
        <x:v>Bateria de LITIO LiFePO4 C/Display 100ah - Branik</x:v>
      </x:c>
      <x:c r="E78" s="8" t="str">
        <x:v>bl-100-b24.png</x:v>
      </x:c>
      <x:c r="F78" s="30"/>
      <x:c r="G78" s="34" t="n">
        <x:v>0</x:v>
      </x:c>
      <x:c r="H78" s="30"/>
      <x:c r="I78" s="32" t="str">
        <x:f>IF(H78&lt;&gt;"",H78,IF(F78="","",ROUND((F78*(1+Ajustes!$B$3/100)*(1+IFERROR(VLOOKUP(B78,Ajustes!$A$7:$B$24,2,FALSE),0)/100)*(1+G78/100))/Ajustes!$B$4,0)*Ajustes!$B$4))</x:f>
      </x:c>
      <x:c r="J78" t="n">
        <x:v>10</x:v>
      </x:c>
    </x:row>
    <x:row r="79">
      <x:c r="A79" t="str">
        <x:v>BL.100.B48</x:v>
      </x:c>
      <x:c r="B79" t="str">
        <x:v>Baterías</x:v>
      </x:c>
      <x:c r="C79" s="8" t="str">
        <x:v>Baterias de Litio</x:v>
      </x:c>
      <x:c r="D79" s="8" t="str">
        <x:v>Bateria de LITIO LiFePO4 C/Display 100ah - Branik</x:v>
      </x:c>
      <x:c r="E79" s="8" t="str">
        <x:v>bl-100-b48.png</x:v>
      </x:c>
      <x:c r="F79" s="30"/>
      <x:c r="G79" s="34" t="n">
        <x:v>0</x:v>
      </x:c>
      <x:c r="H79" s="30"/>
      <x:c r="I79" s="32" t="str">
        <x:f>IF(H79&lt;&gt;"",H79,IF(F79="","",ROUND((F79*(1+Ajustes!$B$3/100)*(1+IFERROR(VLOOKUP(B79,Ajustes!$A$7:$B$24,2,FALSE),0)/100)*(1+G79/100))/Ajustes!$B$4,0)*Ajustes!$B$4))</x:f>
      </x:c>
      <x:c r="J79" t="n">
        <x:v>10</x:v>
      </x:c>
    </x:row>
    <x:row r="80">
      <x:c r="A80" t="str">
        <x:v>BL.50.B</x:v>
      </x:c>
      <x:c r="B80" t="str">
        <x:v>Baterías</x:v>
      </x:c>
      <x:c r="C80" s="8" t="str">
        <x:v>Baterias de Litio</x:v>
      </x:c>
      <x:c r="D80" s="8" t="str">
        <x:v>Bateria de LITIO LiFePO4 50ah - Branik</x:v>
      </x:c>
      <x:c r="E80" s="8" t="str">
        <x:v>bl-50-b.png</x:v>
      </x:c>
      <x:c r="F80" s="30"/>
      <x:c r="G80" s="34" t="n">
        <x:v>0</x:v>
      </x:c>
      <x:c r="H80" s="30"/>
      <x:c r="I80" s="32" t="str">
        <x:f>IF(H80&lt;&gt;"",H80,IF(F80="","",ROUND((F80*(1+Ajustes!$B$3/100)*(1+IFERROR(VLOOKUP(B80,Ajustes!$A$7:$B$24,2,FALSE),0)/100)*(1+G80/100))/Ajustes!$B$4,0)*Ajustes!$B$4))</x:f>
      </x:c>
      <x:c r="J80" t="n">
        <x:v>11</x:v>
      </x:c>
    </x:row>
    <x:row r="81">
      <x:c r="A81" t="str">
        <x:v>BL.100.B</x:v>
      </x:c>
      <x:c r="B81" t="str">
        <x:v>Baterías</x:v>
      </x:c>
      <x:c r="C81" s="8" t="str">
        <x:v>Baterias de Litio</x:v>
      </x:c>
      <x:c r="D81" s="8" t="str">
        <x:v>Bateria de LITIO LiFePO4 100ah - Branik</x:v>
      </x:c>
      <x:c r="E81" s="8" t="str">
        <x:v>bl-100-b.png</x:v>
      </x:c>
      <x:c r="F81" s="30"/>
      <x:c r="G81" s="34" t="n">
        <x:v>0</x:v>
      </x:c>
      <x:c r="H81" s="30"/>
      <x:c r="I81" s="32" t="str">
        <x:f>IF(H81&lt;&gt;"",H81,IF(F81="","",ROUND((F81*(1+Ajustes!$B$3/100)*(1+IFERROR(VLOOKUP(B81,Ajustes!$A$7:$B$24,2,FALSE),0)/100)*(1+G81/100))/Ajustes!$B$4,0)*Ajustes!$B$4))</x:f>
      </x:c>
      <x:c r="J81" t="n">
        <x:v>11</x:v>
      </x:c>
    </x:row>
    <x:row r="82">
      <x:c r="A82" t="str">
        <x:v>BL.200.B</x:v>
      </x:c>
      <x:c r="B82" t="str">
        <x:v>Baterías</x:v>
      </x:c>
      <x:c r="C82" s="8" t="str">
        <x:v>Baterias de Litio</x:v>
      </x:c>
      <x:c r="D82" s="8" t="str">
        <x:v>Bateria de LITIO LiFePO4 200ah - Branik</x:v>
      </x:c>
      <x:c r="E82" s="8" t="str">
        <x:v>bl-200-b.png</x:v>
      </x:c>
      <x:c r="F82" s="30"/>
      <x:c r="G82" s="34" t="n">
        <x:v>0</x:v>
      </x:c>
      <x:c r="H82" s="30"/>
      <x:c r="I82" s="32" t="str">
        <x:f>IF(H82&lt;&gt;"",H82,IF(F82="","",ROUND((F82*(1+Ajustes!$B$3/100)*(1+IFERROR(VLOOKUP(B82,Ajustes!$A$7:$B$24,2,FALSE),0)/100)*(1+G82/100))/Ajustes!$B$4,0)*Ajustes!$B$4))</x:f>
      </x:c>
      <x:c r="J82" t="n">
        <x:v>11</x:v>
      </x:c>
    </x:row>
    <x:row r="83">
      <x:c r="A83" t="str">
        <x:v>BG.55.U</x:v>
      </x:c>
      <x:c r="B83" t="str">
        <x:v>Baterías</x:v>
      </x:c>
      <x:c r="C83" s="8" t="str">
        <x:v>Baterias de Gel UCG</x:v>
      </x:c>
      <x:c r="D83" s="8" t="str">
        <x:v>Bateria de Gel UCG 55ah - Ultracell</x:v>
      </x:c>
      <x:c r="E83" s="8" t="str">
        <x:v>bg-55-u.png</x:v>
      </x:c>
      <x:c r="F83" s="30"/>
      <x:c r="G83" s="34" t="n">
        <x:v>0</x:v>
      </x:c>
      <x:c r="H83" s="30"/>
      <x:c r="I83" s="32" t="str">
        <x:f>IF(H83&lt;&gt;"",H83,IF(F83="","",ROUND((F83*(1+Ajustes!$B$3/100)*(1+IFERROR(VLOOKUP(B83,Ajustes!$A$7:$B$24,2,FALSE),0)/100)*(1+G83/100))/Ajustes!$B$4,0)*Ajustes!$B$4))</x:f>
      </x:c>
      <x:c r="J83" t="n">
        <x:v>11</x:v>
      </x:c>
    </x:row>
    <x:row r="84">
      <x:c r="A84" t="str">
        <x:v>BG.100.U</x:v>
      </x:c>
      <x:c r="B84" t="str">
        <x:v>Baterías</x:v>
      </x:c>
      <x:c r="C84" s="8" t="str">
        <x:v>Baterias de Gel UCG</x:v>
      </x:c>
      <x:c r="D84" s="8" t="str">
        <x:v>Bateria de Gel UCG 100ah - Ultracell</x:v>
      </x:c>
      <x:c r="E84" s="8" t="str">
        <x:v>bg-100-u.png</x:v>
      </x:c>
      <x:c r="F84" s="30"/>
      <x:c r="G84" s="34" t="n">
        <x:v>0</x:v>
      </x:c>
      <x:c r="H84" s="30"/>
      <x:c r="I84" s="32" t="str">
        <x:f>IF(H84&lt;&gt;"",H84,IF(F84="","",ROUND((F84*(1+Ajustes!$B$3/100)*(1+IFERROR(VLOOKUP(B84,Ajustes!$A$7:$B$24,2,FALSE),0)/100)*(1+G84/100))/Ajustes!$B$4,0)*Ajustes!$B$4))</x:f>
      </x:c>
      <x:c r="J84" t="n">
        <x:v>11</x:v>
      </x:c>
    </x:row>
    <x:row r="85">
      <x:c r="A85" t="str">
        <x:v>BG.200.U</x:v>
      </x:c>
      <x:c r="B85" t="str">
        <x:v>Baterías</x:v>
      </x:c>
      <x:c r="C85" s="8" t="str">
        <x:v>Baterias de Gel UCG</x:v>
      </x:c>
      <x:c r="D85" s="8" t="str">
        <x:v>Bateria de Gel UCG 200ah - Ultracell</x:v>
      </x:c>
      <x:c r="E85" s="8" t="str">
        <x:v>bg-200-u.png</x:v>
      </x:c>
      <x:c r="F85" s="30"/>
      <x:c r="G85" s="34" t="n">
        <x:v>0</x:v>
      </x:c>
      <x:c r="H85" s="30"/>
      <x:c r="I85" s="32" t="str">
        <x:f>IF(H85&lt;&gt;"",H85,IF(F85="","",ROUND((F85*(1+Ajustes!$B$3/100)*(1+IFERROR(VLOOKUP(B85,Ajustes!$A$7:$B$24,2,FALSE),0)/100)*(1+G85/100))/Ajustes!$B$4,0)*Ajustes!$B$4))</x:f>
      </x:c>
      <x:c r="J85" t="n">
        <x:v>11</x:v>
      </x:c>
    </x:row>
    <x:row r="86">
      <x:c r="A86" t="str">
        <x:v>BG.275.U</x:v>
      </x:c>
      <x:c r="B86" t="str">
        <x:v>Baterías</x:v>
      </x:c>
      <x:c r="C86" s="8" t="str">
        <x:v>Baterias de Gel UCG</x:v>
      </x:c>
      <x:c r="D86" s="8" t="str">
        <x:v>Bateria de Gel UCG 275ah - Ultracell</x:v>
      </x:c>
      <x:c r="E86" s="8" t="str">
        <x:v>bg-275-u.png</x:v>
      </x:c>
      <x:c r="F86" s="30"/>
      <x:c r="G86" s="34" t="n">
        <x:v>0</x:v>
      </x:c>
      <x:c r="H86" s="30"/>
      <x:c r="I86" s="32" t="str">
        <x:f>IF(H86&lt;&gt;"",H86,IF(F86="","",ROUND((F86*(1+Ajustes!$B$3/100)*(1+IFERROR(VLOOKUP(B86,Ajustes!$A$7:$B$24,2,FALSE),0)/100)*(1+G86/100))/Ajustes!$B$4,0)*Ajustes!$B$4))</x:f>
      </x:c>
      <x:c r="J86" t="n">
        <x:v>11</x:v>
      </x:c>
    </x:row>
    <x:row r="87">
      <x:c r="A87" t="str">
        <x:v>BG.100.D</x:v>
      </x:c>
      <x:c r="B87" t="str">
        <x:v>Baterías</x:v>
      </x:c>
      <x:c r="C87" s="8" t="str">
        <x:v>Baterias de Gel AGM</x:v>
      </x:c>
      <x:c r="D87" s="8" t="str">
        <x:v>Bateria de Gel AGM 100ah - Detroit</x:v>
      </x:c>
      <x:c r="E87" s="8" t="str">
        <x:v>bg-100-d.png</x:v>
      </x:c>
      <x:c r="F87" s="30"/>
      <x:c r="G87" s="34" t="n">
        <x:v>0</x:v>
      </x:c>
      <x:c r="H87" s="30"/>
      <x:c r="I87" s="32" t="str">
        <x:f>IF(H87&lt;&gt;"",H87,IF(F87="","",ROUND((F87*(1+Ajustes!$B$3/100)*(1+IFERROR(VLOOKUP(B87,Ajustes!$A$7:$B$24,2,FALSE),0)/100)*(1+G87/100))/Ajustes!$B$4,0)*Ajustes!$B$4))</x:f>
      </x:c>
      <x:c r="J87" t="n">
        <x:v>11</x:v>
      </x:c>
    </x:row>
    <x:row r="88">
      <x:c r="A88" t="str">
        <x:v>BG.150.D</x:v>
      </x:c>
      <x:c r="B88" t="str">
        <x:v>Baterías</x:v>
      </x:c>
      <x:c r="C88" s="8" t="str">
        <x:v>Baterias de Gel AGM</x:v>
      </x:c>
      <x:c r="D88" s="8" t="str">
        <x:v>Bateria de Gel AGM 150ah - Detroit</x:v>
      </x:c>
      <x:c r="E88" s="8" t="str">
        <x:v>bg-150-d.png</x:v>
      </x:c>
      <x:c r="F88" s="30"/>
      <x:c r="G88" s="34" t="n">
        <x:v>0</x:v>
      </x:c>
      <x:c r="H88" s="30"/>
      <x:c r="I88" s="32" t="str">
        <x:f>IF(H88&lt;&gt;"",H88,IF(F88="","",ROUND((F88*(1+Ajustes!$B$3/100)*(1+IFERROR(VLOOKUP(B88,Ajustes!$A$7:$B$24,2,FALSE),0)/100)*(1+G88/100))/Ajustes!$B$4,0)*Ajustes!$B$4))</x:f>
      </x:c>
      <x:c r="J88" t="n">
        <x:v>12</x:v>
      </x:c>
    </x:row>
    <x:row r="89">
      <x:c r="A89" t="str">
        <x:v>BG.190.D</x:v>
      </x:c>
      <x:c r="B89" t="str">
        <x:v>Baterías</x:v>
      </x:c>
      <x:c r="C89" s="8" t="str">
        <x:v>Baterias de Gel AGM</x:v>
      </x:c>
      <x:c r="D89" s="8" t="str">
        <x:v>Bateria de Gel AGM 190ah - Detroit</x:v>
      </x:c>
      <x:c r="E89" s="8" t="str">
        <x:v>bg-190-d.png</x:v>
      </x:c>
      <x:c r="F89" s="30"/>
      <x:c r="G89" s="34" t="n">
        <x:v>0</x:v>
      </x:c>
      <x:c r="H89" s="30"/>
      <x:c r="I89" s="32" t="str">
        <x:f>IF(H89&lt;&gt;"",H89,IF(F89="","",ROUND((F89*(1+Ajustes!$B$3/100)*(1+IFERROR(VLOOKUP(B89,Ajustes!$A$7:$B$24,2,FALSE),0)/100)*(1+G89/100))/Ajustes!$B$4,0)*Ajustes!$B$4))</x:f>
      </x:c>
      <x:c r="J89" t="n">
        <x:v>12</x:v>
      </x:c>
    </x:row>
    <x:row r="90">
      <x:c r="A90" t="str">
        <x:v>BG.200.D</x:v>
      </x:c>
      <x:c r="B90" t="str">
        <x:v>Baterías</x:v>
      </x:c>
      <x:c r="C90" s="8" t="str">
        <x:v>Baterias de Gel AGM</x:v>
      </x:c>
      <x:c r="D90" s="8" t="str">
        <x:v>Bateria de Gel AGM 200ah - Detroit</x:v>
      </x:c>
      <x:c r="E90" s="8" t="str">
        <x:v>bg-200-d.png</x:v>
      </x:c>
      <x:c r="F90" s="30"/>
      <x:c r="G90" s="34" t="n">
        <x:v>0</x:v>
      </x:c>
      <x:c r="H90" s="30"/>
      <x:c r="I90" s="32" t="str">
        <x:f>IF(H90&lt;&gt;"",H90,IF(F90="","",ROUND((F90*(1+Ajustes!$B$3/100)*(1+IFERROR(VLOOKUP(B90,Ajustes!$A$7:$B$24,2,FALSE),0)/100)*(1+G90/100))/Ajustes!$B$4,0)*Ajustes!$B$4))</x:f>
      </x:c>
      <x:c r="J90" t="n">
        <x:v>12</x:v>
      </x:c>
    </x:row>
    <x:row r="91">
      <x:c r="A91" t="str">
        <x:v>BG.250.D</x:v>
      </x:c>
      <x:c r="B91" t="str">
        <x:v>Baterías</x:v>
      </x:c>
      <x:c r="C91" s="8" t="str">
        <x:v>Baterias de Gel AGM</x:v>
      </x:c>
      <x:c r="D91" s="8" t="str">
        <x:v>Bateria de Gel AGM 250ah - Detroit</x:v>
      </x:c>
      <x:c r="E91" s="8" t="str">
        <x:v>bg-250-d.png</x:v>
      </x:c>
      <x:c r="F91" s="30"/>
      <x:c r="G91" s="34" t="n">
        <x:v>0</x:v>
      </x:c>
      <x:c r="H91" s="30"/>
      <x:c r="I91" s="32" t="str">
        <x:f>IF(H91&lt;&gt;"",H91,IF(F91="","",ROUND((F91*(1+Ajustes!$B$3/100)*(1+IFERROR(VLOOKUP(B91,Ajustes!$A$7:$B$24,2,FALSE),0)/100)*(1+G91/100))/Ajustes!$B$4,0)*Ajustes!$B$4))</x:f>
      </x:c>
      <x:c r="J91" t="n">
        <x:v>12</x:v>
      </x:c>
    </x:row>
    <x:row r="92">
      <x:c r="A92" t="str">
        <x:v>BG.22.B</x:v>
      </x:c>
      <x:c r="B92" t="str">
        <x:v>Baterías</x:v>
      </x:c>
      <x:c r="C92" s="8" t="str">
        <x:v>Baterias de Gel AGM</x:v>
      </x:c>
      <x:c r="D92" s="8" t="str">
        <x:v>Bateria de Gel AGM 20ah - Branik</x:v>
      </x:c>
      <x:c r="E92" s="8" t="str">
        <x:v>bg-22-b.png</x:v>
      </x:c>
      <x:c r="F92" s="30"/>
      <x:c r="G92" s="34" t="n">
        <x:v>0</x:v>
      </x:c>
      <x:c r="H92" s="30"/>
      <x:c r="I92" s="32" t="str">
        <x:f>IF(H92&lt;&gt;"",H92,IF(F92="","",ROUND((F92*(1+Ajustes!$B$3/100)*(1+IFERROR(VLOOKUP(B92,Ajustes!$A$7:$B$24,2,FALSE),0)/100)*(1+G92/100))/Ajustes!$B$4,0)*Ajustes!$B$4))</x:f>
      </x:c>
      <x:c r="J92" t="n">
        <x:v>12</x:v>
      </x:c>
    </x:row>
    <x:row r="93">
      <x:c r="A93" t="str">
        <x:v>BG.55.B</x:v>
      </x:c>
      <x:c r="B93" t="str">
        <x:v>Baterías</x:v>
      </x:c>
      <x:c r="C93" s="8" t="str">
        <x:v>Baterias de Gel AGM</x:v>
      </x:c>
      <x:c r="D93" s="8" t="str">
        <x:v>Bateria de Gel AGM 55ah - Branik</x:v>
      </x:c>
      <x:c r="E93" s="8" t="str">
        <x:v>bg-55-b.png</x:v>
      </x:c>
      <x:c r="F93" s="30"/>
      <x:c r="G93" s="34" t="n">
        <x:v>0</x:v>
      </x:c>
      <x:c r="H93" s="30"/>
      <x:c r="I93" s="32" t="str">
        <x:f>IF(H93&lt;&gt;"",H93,IF(F93="","",ROUND((F93*(1+Ajustes!$B$3/100)*(1+IFERROR(VLOOKUP(B93,Ajustes!$A$7:$B$24,2,FALSE),0)/100)*(1+G93/100))/Ajustes!$B$4,0)*Ajustes!$B$4))</x:f>
      </x:c>
      <x:c r="J93" t="n">
        <x:v>12</x:v>
      </x:c>
    </x:row>
    <x:row r="94">
      <x:c r="A94" t="str">
        <x:v>BG.100.B</x:v>
      </x:c>
      <x:c r="B94" t="str">
        <x:v>Baterías</x:v>
      </x:c>
      <x:c r="C94" s="8" t="str">
        <x:v>Baterias de Gel AGM</x:v>
      </x:c>
      <x:c r="D94" s="8" t="str">
        <x:v>Bateria de Gel AGM 100ah - Branik</x:v>
      </x:c>
      <x:c r="E94" s="8" t="str">
        <x:v>bg-100-b.png</x:v>
      </x:c>
      <x:c r="F94" s="30"/>
      <x:c r="G94" s="34" t="n">
        <x:v>0</x:v>
      </x:c>
      <x:c r="H94" s="30"/>
      <x:c r="I94" s="32" t="str">
        <x:f>IF(H94&lt;&gt;"",H94,IF(F94="","",ROUND((F94*(1+Ajustes!$B$3/100)*(1+IFERROR(VLOOKUP(B94,Ajustes!$A$7:$B$24,2,FALSE),0)/100)*(1+G94/100))/Ajustes!$B$4,0)*Ajustes!$B$4))</x:f>
      </x:c>
      <x:c r="J94" t="n">
        <x:v>12</x:v>
      </x:c>
    </x:row>
    <x:row r="95">
      <x:c r="A95" t="str">
        <x:v>BG.120.B</x:v>
      </x:c>
      <x:c r="B95" t="str">
        <x:v>Baterías</x:v>
      </x:c>
      <x:c r="C95" s="8" t="str">
        <x:v>Baterias de Gel AGM</x:v>
      </x:c>
      <x:c r="D95" s="8" t="str">
        <x:v>Bateria de Gel AGM 120ah - Branik</x:v>
      </x:c>
      <x:c r="E95" s="8" t="str">
        <x:v>bg-120-b.png</x:v>
      </x:c>
      <x:c r="F95" s="30"/>
      <x:c r="G95" s="34" t="n">
        <x:v>0</x:v>
      </x:c>
      <x:c r="H95" s="30"/>
      <x:c r="I95" s="32" t="str">
        <x:f>IF(H95&lt;&gt;"",H95,IF(F95="","",ROUND((F95*(1+Ajustes!$B$3/100)*(1+IFERROR(VLOOKUP(B95,Ajustes!$A$7:$B$24,2,FALSE),0)/100)*(1+G95/100))/Ajustes!$B$4,0)*Ajustes!$B$4))</x:f>
      </x:c>
      <x:c r="J95" t="n">
        <x:v>12</x:v>
      </x:c>
    </x:row>
    <x:row r="96">
      <x:c r="A96" t="str">
        <x:v>BG.200.B</x:v>
      </x:c>
      <x:c r="B96" t="str">
        <x:v>Baterías</x:v>
      </x:c>
      <x:c r="C96" s="8" t="str">
        <x:v>Baterias de Gel AGM</x:v>
      </x:c>
      <x:c r="D96" s="8" t="str">
        <x:v>Bateria de Gel AGM 200ah - Branik</x:v>
      </x:c>
      <x:c r="E96" s="8" t="str">
        <x:v>bg-200-b.png</x:v>
      </x:c>
      <x:c r="F96" s="30"/>
      <x:c r="G96" s="34" t="n">
        <x:v>0</x:v>
      </x:c>
      <x:c r="H96" s="30"/>
      <x:c r="I96" s="32" t="str">
        <x:f>IF(H96&lt;&gt;"",H96,IF(F96="","",ROUND((F96*(1+Ajustes!$B$3/100)*(1+IFERROR(VLOOKUP(B96,Ajustes!$A$7:$B$24,2,FALSE),0)/100)*(1+G96/100))/Ajustes!$B$4,0)*Ajustes!$B$4))</x:f>
      </x:c>
      <x:c r="J96" t="n">
        <x:v>13</x:v>
      </x:c>
    </x:row>
    <x:row r="97">
      <x:c r="A97" t="str">
        <x:v>CB.1212.50</x:v>
      </x:c>
      <x:c r="B97" t="str">
        <x:v>Baterías</x:v>
      </x:c>
      <x:c r="C97" s="8" t="str">
        <x:v>Cargadores de Bateria - Desde Alternador</x:v>
      </x:c>
      <x:c r="D97" s="8" t="str">
        <x:v>Cargador de Bateria VICTRON ORION SMART</x:v>
      </x:c>
      <x:c r="E97" s="8" t="str">
        <x:v>cb-1212-50.png</x:v>
      </x:c>
      <x:c r="F97" s="30"/>
      <x:c r="G97" s="34" t="n">
        <x:v>0</x:v>
      </x:c>
      <x:c r="H97" s="30"/>
      <x:c r="I97" s="32" t="str">
        <x:f>IF(H97&lt;&gt;"",H97,IF(F97="","",ROUND((F97*(1+Ajustes!$B$3/100)*(1+IFERROR(VLOOKUP(B97,Ajustes!$A$7:$B$24,2,FALSE),0)/100)*(1+G97/100))/Ajustes!$B$4,0)*Ajustes!$B$4))</x:f>
      </x:c>
      <x:c r="J97" t="n">
        <x:v>13</x:v>
      </x:c>
    </x:row>
    <x:row r="98">
      <x:c r="A98" t="str">
        <x:v>CB.1212.30A</x:v>
      </x:c>
      <x:c r="B98" t="str">
        <x:v>Baterías</x:v>
      </x:c>
      <x:c r="C98" s="8" t="str">
        <x:v>Cargadores de Bateria - Desde Alternador</x:v>
      </x:c>
      <x:c r="D98" s="8" t="str">
        <x:v>Cargador de Bateria VICTRON ORION SMART</x:v>
      </x:c>
      <x:c r="E98" s="8" t="str">
        <x:v>cb-1212-30a.png</x:v>
      </x:c>
      <x:c r="F98" s="30"/>
      <x:c r="G98" s="34" t="n">
        <x:v>0</x:v>
      </x:c>
      <x:c r="H98" s="30"/>
      <x:c r="I98" s="32" t="str">
        <x:f>IF(H98&lt;&gt;"",H98,IF(F98="","",ROUND((F98*(1+Ajustes!$B$3/100)*(1+IFERROR(VLOOKUP(B98,Ajustes!$A$7:$B$24,2,FALSE),0)/100)*(1+G98/100))/Ajustes!$B$4,0)*Ajustes!$B$4))</x:f>
      </x:c>
      <x:c r="J98" t="n">
        <x:v>13</x:v>
      </x:c>
    </x:row>
    <x:row r="99">
      <x:c r="A99" t="str">
        <x:v>CB.1212.18A</x:v>
      </x:c>
      <x:c r="B99" t="str">
        <x:v>Baterías</x:v>
      </x:c>
      <x:c r="C99" s="8" t="str">
        <x:v>Cargadores de Bateria - Desde Alternador</x:v>
      </x:c>
      <x:c r="D99" s="8" t="str">
        <x:v>Cargador de Bateria VICTRON ORION SMART</x:v>
      </x:c>
      <x:c r="E99" s="8" t="str">
        <x:v>cb-1212-18a.png</x:v>
      </x:c>
      <x:c r="F99" s="30"/>
      <x:c r="G99" s="34" t="n">
        <x:v>0</x:v>
      </x:c>
      <x:c r="H99" s="30"/>
      <x:c r="I99" s="32" t="str">
        <x:f>IF(H99&lt;&gt;"",H99,IF(F99="","",ROUND((F99*(1+Ajustes!$B$3/100)*(1+IFERROR(VLOOKUP(B99,Ajustes!$A$7:$B$24,2,FALSE),0)/100)*(1+G99/100))/Ajustes!$B$4,0)*Ajustes!$B$4))</x:f>
      </x:c>
      <x:c r="J99" t="n">
        <x:v>13</x:v>
      </x:c>
    </x:row>
    <x:row r="100">
      <x:c r="A100" t="str">
        <x:v>CB.1212.30</x:v>
      </x:c>
      <x:c r="B100" t="str">
        <x:v>Baterías</x:v>
      </x:c>
      <x:c r="C100" s="8" t="str">
        <x:v>Cargadores de Bateria - Desde Alternador</x:v>
      </x:c>
      <x:c r="D100" s="8" t="str">
        <x:v>Cargador de Bateria VICTRON ORION SMART</x:v>
      </x:c>
      <x:c r="E100" s="8" t="str">
        <x:v>cb-1212-30.png</x:v>
      </x:c>
      <x:c r="F100" s="30"/>
      <x:c r="G100" s="34" t="n">
        <x:v>0</x:v>
      </x:c>
      <x:c r="H100" s="30"/>
      <x:c r="I100" s="32" t="str">
        <x:f>IF(H100&lt;&gt;"",H100,IF(F100="","",ROUND((F100*(1+Ajustes!$B$3/100)*(1+IFERROR(VLOOKUP(B100,Ajustes!$A$7:$B$24,2,FALSE),0)/100)*(1+G100/100))/Ajustes!$B$4,0)*Ajustes!$B$4))</x:f>
      </x:c>
      <x:c r="J100" t="n">
        <x:v>13</x:v>
      </x:c>
    </x:row>
    <x:row r="101">
      <x:c r="A101" t="str">
        <x:v>CB.1224.15</x:v>
      </x:c>
      <x:c r="B101" t="str">
        <x:v>Baterías</x:v>
      </x:c>
      <x:c r="C101" s="8" t="str">
        <x:v>Cargadores de Bateria - Desde Alternador</x:v>
      </x:c>
      <x:c r="D101" s="8" t="str">
        <x:v>Cargador de Bateria VICTRON ORION SMART</x:v>
      </x:c>
      <x:c r="E101" s="8" t="str">
        <x:v>cb-1224-15.png</x:v>
      </x:c>
      <x:c r="F101" s="30"/>
      <x:c r="G101" s="34" t="n">
        <x:v>0</x:v>
      </x:c>
      <x:c r="H101" s="30"/>
      <x:c r="I101" s="32" t="str">
        <x:f>IF(H101&lt;&gt;"",H101,IF(F101="","",ROUND((F101*(1+Ajustes!$B$3/100)*(1+IFERROR(VLOOKUP(B101,Ajustes!$A$7:$B$24,2,FALSE),0)/100)*(1+G101/100))/Ajustes!$B$4,0)*Ajustes!$B$4))</x:f>
      </x:c>
      <x:c r="J101" t="n">
        <x:v>13</x:v>
      </x:c>
    </x:row>
    <x:row r="102">
      <x:c r="A102" t="str">
        <x:v>CB.2424.17</x:v>
      </x:c>
      <x:c r="B102" t="str">
        <x:v>Baterías</x:v>
      </x:c>
      <x:c r="C102" s="8" t="str">
        <x:v>Cargadores de Bateria - Desde Alternador</x:v>
      </x:c>
      <x:c r="D102" s="8" t="str">
        <x:v>Cargador de Bateria VICTRON ORION SMART</x:v>
      </x:c>
      <x:c r="E102" s="8" t="str">
        <x:v>cb-2424-17.png</x:v>
      </x:c>
      <x:c r="F102" s="30"/>
      <x:c r="G102" s="34" t="n">
        <x:v>0</x:v>
      </x:c>
      <x:c r="H102" s="30"/>
      <x:c r="I102" s="32" t="str">
        <x:f>IF(H102&lt;&gt;"",H102,IF(F102="","",ROUND((F102*(1+Ajustes!$B$3/100)*(1+IFERROR(VLOOKUP(B102,Ajustes!$A$7:$B$24,2,FALSE),0)/100)*(1+G102/100))/Ajustes!$B$4,0)*Ajustes!$B$4))</x:f>
      </x:c>
      <x:c r="J102" t="n">
        <x:v>13</x:v>
      </x:c>
    </x:row>
    <x:row r="103">
      <x:c r="A103" t="str">
        <x:v>CB.2412.30</x:v>
      </x:c>
      <x:c r="B103" t="str">
        <x:v>Baterías</x:v>
      </x:c>
      <x:c r="C103" s="8" t="str">
        <x:v>Cargadores de Bateria - Desde Alternador</x:v>
      </x:c>
      <x:c r="D103" s="8" t="str">
        <x:v>Cargador de Bateria VICTRON ORION SMART</x:v>
      </x:c>
      <x:c r="E103" s="8" t="str">
        <x:v>cb-2412-30.png</x:v>
      </x:c>
      <x:c r="F103" s="30"/>
      <x:c r="G103" s="34" t="n">
        <x:v>0</x:v>
      </x:c>
      <x:c r="H103" s="30"/>
      <x:c r="I103" s="32" t="str">
        <x:f>IF(H103&lt;&gt;"",H103,IF(F103="","",ROUND((F103*(1+Ajustes!$B$3/100)*(1+IFERROR(VLOOKUP(B103,Ajustes!$A$7:$B$24,2,FALSE),0)/100)*(1+G103/100))/Ajustes!$B$4,0)*Ajustes!$B$4))</x:f>
      </x:c>
      <x:c r="J103" t="n">
        <x:v>13</x:v>
      </x:c>
    </x:row>
    <x:row r="104">
      <x:c r="A104" t="str">
        <x:v>GEA.12</x:v>
      </x:c>
      <x:c r="B104" t="str">
        <x:v>Electricidad</x:v>
      </x:c>
      <x:c r="C104" s="8" t="str">
        <x:v>Generadores de Corriente - Nafteros</x:v>
      </x:c>
      <x:c r="D104" s="8" t="str">
        <x:v>Generador de Corriente C/Control 12v ACTECMAX</x:v>
      </x:c>
      <x:c r="E104" s="8" t="str">
        <x:v>gea-12.png</x:v>
      </x:c>
      <x:c r="F104" s="30"/>
      <x:c r="G104" s="34" t="n">
        <x:v>0</x:v>
      </x:c>
      <x:c r="H104" s="30"/>
      <x:c r="I104" s="32" t="str">
        <x:f>IF(H104&lt;&gt;"",H104,IF(F104="","",ROUND((F104*(1+Ajustes!$B$3/100)*(1+IFERROR(VLOOKUP(B104,Ajustes!$A$7:$B$24,2,FALSE),0)/100)*(1+G104/100))/Ajustes!$B$4,0)*Ajustes!$B$4))</x:f>
      </x:c>
      <x:c r="J104" t="n">
        <x:v>14</x:v>
      </x:c>
    </x:row>
    <x:row r="105">
      <x:c r="A105" t="str">
        <x:v>GEA.24</x:v>
      </x:c>
      <x:c r="B105" t="str">
        <x:v>Electricidad</x:v>
      </x:c>
      <x:c r="C105" s="8" t="str">
        <x:v>Generadores de Corriente - Nafteros</x:v>
      </x:c>
      <x:c r="D105" s="8" t="str">
        <x:v>Generador de Corriente C/Control 24v ACTECMAX</x:v>
      </x:c>
      <x:c r="E105" s="8" t="str">
        <x:v>gea-24.png</x:v>
      </x:c>
      <x:c r="F105" s="30"/>
      <x:c r="G105" s="34" t="n">
        <x:v>0</x:v>
      </x:c>
      <x:c r="H105" s="30"/>
      <x:c r="I105" s="32" t="str">
        <x:f>IF(H105&lt;&gt;"",H105,IF(F105="","",ROUND((F105*(1+Ajustes!$B$3/100)*(1+IFERROR(VLOOKUP(B105,Ajustes!$A$7:$B$24,2,FALSE),0)/100)*(1+G105/100))/Ajustes!$B$4,0)*Ajustes!$B$4))</x:f>
      </x:c>
      <x:c r="J105" t="n">
        <x:v>14</x:v>
      </x:c>
    </x:row>
    <x:row r="106">
      <x:c r="A106" t="str">
        <x:v>LC.275.A</x:v>
      </x:c>
      <x:c r="B106" t="str">
        <x:v>Baterías</x:v>
      </x:c>
      <x:c r="C106" s="8" t="str">
        <x:v>Protecciones</x:v>
      </x:c>
      <x:c r="D106" s="8" t="str">
        <x:v>Llave de Corte Bateria Hasta 275ah - De Apoyo</x:v>
      </x:c>
      <x:c r="E106" s="8" t="str">
        <x:v>lc-275-a.png</x:v>
      </x:c>
      <x:c r="F106" s="30"/>
      <x:c r="G106" s="34" t="n">
        <x:v>0</x:v>
      </x:c>
      <x:c r="H106" s="30"/>
      <x:c r="I106" s="32" t="str">
        <x:f>IF(H106&lt;&gt;"",H106,IF(F106="","",ROUND((F106*(1+Ajustes!$B$3/100)*(1+IFERROR(VLOOKUP(B106,Ajustes!$A$7:$B$24,2,FALSE),0)/100)*(1+G106/100))/Ajustes!$B$4,0)*Ajustes!$B$4))</x:f>
      </x:c>
      <x:c r="J106" t="n">
        <x:v>14</x:v>
      </x:c>
    </x:row>
    <x:row r="107">
      <x:c r="A107" t="str">
        <x:v>LC.275.E</x:v>
      </x:c>
      <x:c r="B107" t="str">
        <x:v>Baterías</x:v>
      </x:c>
      <x:c r="C107" s="8" t="str">
        <x:v>Protecciones</x:v>
      </x:c>
      <x:c r="D107" s="8" t="str">
        <x:v>Llave de Corte Bateria Hasta 275ah - De Embutir</x:v>
      </x:c>
      <x:c r="E107" s="8" t="str">
        <x:v>lc-275-e.png</x:v>
      </x:c>
      <x:c r="F107" s="30"/>
      <x:c r="G107" s="34" t="n">
        <x:v>0</x:v>
      </x:c>
      <x:c r="H107" s="30"/>
      <x:c r="I107" s="32" t="str">
        <x:f>IF(H107&lt;&gt;"",H107,IF(F107="","",ROUND((F107*(1+Ajustes!$B$3/100)*(1+IFERROR(VLOOKUP(B107,Ajustes!$A$7:$B$24,2,FALSE),0)/100)*(1+G107/100))/Ajustes!$B$4,0)*Ajustes!$B$4))</x:f>
      </x:c>
      <x:c r="J107" t="n">
        <x:v>14</x:v>
      </x:c>
    </x:row>
    <x:row r="108">
      <x:c r="A108" t="str">
        <x:v>TMH.RB</x:v>
      </x:c>
      <x:c r="B108" t="str">
        <x:v>Electricidad</x:v>
      </x:c>
      <x:c r="C108" s="8" t="str">
        <x:v>Tomas Corriente - Exterior</x:v>
      </x:c>
      <x:c r="D108" s="8" t="str">
        <x:v>KIT Toma Exterior 220v  Macho + Hembra</x:v>
      </x:c>
      <x:c r="E108" s="8" t="str">
        <x:v>tmh-rb.png</x:v>
      </x:c>
      <x:c r="F108" s="30"/>
      <x:c r="G108" s="34" t="n">
        <x:v>0</x:v>
      </x:c>
      <x:c r="H108" s="30"/>
      <x:c r="I108" s="32" t="str">
        <x:f>IF(H108&lt;&gt;"",H108,IF(F108="","",ROUND((F108*(1+Ajustes!$B$3/100)*(1+IFERROR(VLOOKUP(B108,Ajustes!$A$7:$B$24,2,FALSE),0)/100)*(1+G108/100))/Ajustes!$B$4,0)*Ajustes!$B$4))</x:f>
      </x:c>
      <x:c r="J108" t="n">
        <x:v>14</x:v>
      </x:c>
    </x:row>
    <x:row r="109">
      <x:c r="A109" t="str">
        <x:v>TMH.RG</x:v>
      </x:c>
      <x:c r="B109" t="str">
        <x:v>Electricidad</x:v>
      </x:c>
      <x:c r="C109" s="8" t="str">
        <x:v>Tomas Corriente - Exterior</x:v>
      </x:c>
      <x:c r="D109" s="8" t="str">
        <x:v>KIT Toma Exterior 220v  Macho + Hembra</x:v>
      </x:c>
      <x:c r="E109" s="8" t="str">
        <x:v>tmh-rg.png</x:v>
      </x:c>
      <x:c r="F109" s="30"/>
      <x:c r="G109" s="34" t="n">
        <x:v>0</x:v>
      </x:c>
      <x:c r="H109" s="30"/>
      <x:c r="I109" s="32" t="str">
        <x:f>IF(H109&lt;&gt;"",H109,IF(F109="","",ROUND((F109*(1+Ajustes!$B$3/100)*(1+IFERROR(VLOOKUP(B109,Ajustes!$A$7:$B$24,2,FALSE),0)/100)*(1+G109/100))/Ajustes!$B$4,0)*Ajustes!$B$4))</x:f>
      </x:c>
      <x:c r="J109" t="n">
        <x:v>14</x:v>
      </x:c>
    </x:row>
    <x:row r="110">
      <x:c r="A110" t="str">
        <x:v>TMH.RN</x:v>
      </x:c>
      <x:c r="B110" t="str">
        <x:v>Electricidad</x:v>
      </x:c>
      <x:c r="C110" s="8" t="str">
        <x:v>Tomas Corriente - Exterior</x:v>
      </x:c>
      <x:c r="D110" s="8" t="str">
        <x:v>KIT Toma Exterior 220v  Macho + Hembra</x:v>
      </x:c>
      <x:c r="E110" s="8" t="str">
        <x:v>tmh-rn.png</x:v>
      </x:c>
      <x:c r="F110" s="30"/>
      <x:c r="G110" s="34" t="n">
        <x:v>0</x:v>
      </x:c>
      <x:c r="H110" s="30"/>
      <x:c r="I110" s="32" t="str">
        <x:f>IF(H110&lt;&gt;"",H110,IF(F110="","",ROUND((F110*(1+Ajustes!$B$3/100)*(1+IFERROR(VLOOKUP(B110,Ajustes!$A$7:$B$24,2,FALSE),0)/100)*(1+G110/100))/Ajustes!$B$4,0)*Ajustes!$B$4))</x:f>
      </x:c>
      <x:c r="J110" t="n">
        <x:v>14</x:v>
      </x:c>
    </x:row>
    <x:row r="111">
      <x:c r="A111" t="str">
        <x:v>TME.32</x:v>
      </x:c>
      <x:c r="B111" t="str">
        <x:v>Electricidad</x:v>
      </x:c>
      <x:c r="C111" s="8" t="str">
        <x:v>Tomas Corriente - Exterior</x:v>
      </x:c>
      <x:c r="D111" s="8" t="str">
        <x:v>Toma Exterior Macho 220v</x:v>
      </x:c>
      <x:c r="E111" s="8" t="str">
        <x:v>tme-32.png</x:v>
      </x:c>
      <x:c r="F111" s="30"/>
      <x:c r="G111" s="34" t="n">
        <x:v>0</x:v>
      </x:c>
      <x:c r="H111" s="30"/>
      <x:c r="I111" s="32" t="str">
        <x:f>IF(H111&lt;&gt;"",H111,IF(F111="","",ROUND((F111*(1+Ajustes!$B$3/100)*(1+IFERROR(VLOOKUP(B111,Ajustes!$A$7:$B$24,2,FALSE),0)/100)*(1+G111/100))/Ajustes!$B$4,0)*Ajustes!$B$4))</x:f>
      </x:c>
      <x:c r="J111" t="n">
        <x:v>15</x:v>
      </x:c>
    </x:row>
    <x:row r="112">
      <x:c r="A112" t="str">
        <x:v>THE.32</x:v>
      </x:c>
      <x:c r="B112" t="str">
        <x:v>Electricidad</x:v>
      </x:c>
      <x:c r="C112" s="8" t="str">
        <x:v>Tomas Corriente - Exterior</x:v>
      </x:c>
      <x:c r="D112" s="8" t="str">
        <x:v>Toma Exterior Hembra 220v</x:v>
      </x:c>
      <x:c r="E112" s="8" t="str">
        <x:v>the-32.png</x:v>
      </x:c>
      <x:c r="F112" s="30"/>
      <x:c r="G112" s="34" t="n">
        <x:v>0</x:v>
      </x:c>
      <x:c r="H112" s="30"/>
      <x:c r="I112" s="32" t="str">
        <x:f>IF(H112&lt;&gt;"",H112,IF(F112="","",ROUND((F112*(1+Ajustes!$B$3/100)*(1+IFERROR(VLOOKUP(B112,Ajustes!$A$7:$B$24,2,FALSE),0)/100)*(1+G112/100))/Ajustes!$B$4,0)*Ajustes!$B$4))</x:f>
      </x:c>
      <x:c r="J112" t="n">
        <x:v>15</x:v>
      </x:c>
    </x:row>
    <x:row r="113">
      <x:c r="A113" t="str">
        <x:v>TME.20</x:v>
      </x:c>
      <x:c r="B113" t="str">
        <x:v>Electricidad</x:v>
      </x:c>
      <x:c r="C113" s="8" t="str">
        <x:v>Tomas Corriente - Exterior</x:v>
      </x:c>
      <x:c r="D113" s="8" t="str">
        <x:v>Toma Exterior Macho 220v</x:v>
      </x:c>
      <x:c r="E113" s="8" t="str">
        <x:v>tme-20.png</x:v>
      </x:c>
      <x:c r="F113" s="30"/>
      <x:c r="G113" s="34" t="n">
        <x:v>0</x:v>
      </x:c>
      <x:c r="H113" s="30"/>
      <x:c r="I113" s="32" t="str">
        <x:f>IF(H113&lt;&gt;"",H113,IF(F113="","",ROUND((F113*(1+Ajustes!$B$3/100)*(1+IFERROR(VLOOKUP(B113,Ajustes!$A$7:$B$24,2,FALSE),0)/100)*(1+G113/100))/Ajustes!$B$4,0)*Ajustes!$B$4))</x:f>
      </x:c>
      <x:c r="J113" t="n">
        <x:v>15</x:v>
      </x:c>
    </x:row>
    <x:row r="114">
      <x:c r="A114" t="str">
        <x:v>TH.12</x:v>
      </x:c>
      <x:c r="B114" t="str">
        <x:v>Electricidad</x:v>
      </x:c>
      <x:c r="C114" s="8" t="str">
        <x:v>Tomas Corriente - Interior</x:v>
      </x:c>
      <x:c r="D114" s="8" t="str">
        <x:v>Toma Hembra TIPO ENCENDEDOR 12v - ACERO INOX</x:v>
      </x:c>
      <x:c r="E114" s="8" t="str">
        <x:v>th-12.png</x:v>
      </x:c>
      <x:c r="F114" s="30"/>
      <x:c r="G114" s="34" t="n">
        <x:v>0</x:v>
      </x:c>
      <x:c r="H114" s="30"/>
      <x:c r="I114" s="32" t="str">
        <x:f>IF(H114&lt;&gt;"",H114,IF(F114="","",ROUND((F114*(1+Ajustes!$B$3/100)*(1+IFERROR(VLOOKUP(B114,Ajustes!$A$7:$B$24,2,FALSE),0)/100)*(1+G114/100))/Ajustes!$B$4,0)*Ajustes!$B$4))</x:f>
      </x:c>
      <x:c r="J114" t="n">
        <x:v>15</x:v>
      </x:c>
    </x:row>
    <x:row r="115">
      <x:c r="A115" t="str">
        <x:v>TH.1224.B</x:v>
      </x:c>
      <x:c r="B115" t="str">
        <x:v>Electricidad</x:v>
      </x:c>
      <x:c r="C115" s="8" t="str">
        <x:v>Tomas Corriente - Interior</x:v>
      </x:c>
      <x:c r="D115" s="8" t="str">
        <x:v>Toma Hembra TIPO ENCENDEDOR 12v 24v</x:v>
      </x:c>
      <x:c r="E115" s="8" t="str">
        <x:v>th-1224-b.png</x:v>
      </x:c>
      <x:c r="F115" s="30"/>
      <x:c r="G115" s="34" t="n">
        <x:v>0</x:v>
      </x:c>
      <x:c r="H115" s="30"/>
      <x:c r="I115" s="32" t="str">
        <x:f>IF(H115&lt;&gt;"",H115,IF(F115="","",ROUND((F115*(1+Ajustes!$B$3/100)*(1+IFERROR(VLOOKUP(B115,Ajustes!$A$7:$B$24,2,FALSE),0)/100)*(1+G115/100))/Ajustes!$B$4,0)*Ajustes!$B$4))</x:f>
      </x:c>
      <x:c r="J115" t="n">
        <x:v>15</x:v>
      </x:c>
    </x:row>
    <x:row r="116">
      <x:c r="A116" t="str">
        <x:v>TH.1224.N</x:v>
      </x:c>
      <x:c r="B116" t="str">
        <x:v>Electricidad</x:v>
      </x:c>
      <x:c r="C116" s="8" t="str">
        <x:v>Tomas Corriente - Interior</x:v>
      </x:c>
      <x:c r="D116" s="8" t="str">
        <x:v>Toma Hembra TIPO ENCENDEDOR 12v 24v</x:v>
      </x:c>
      <x:c r="E116" s="8" t="str">
        <x:v>th-1224-n.png</x:v>
      </x:c>
      <x:c r="F116" s="30"/>
      <x:c r="G116" s="34" t="n">
        <x:v>0</x:v>
      </x:c>
      <x:c r="H116" s="30"/>
      <x:c r="I116" s="32" t="str">
        <x:f>IF(H116&lt;&gt;"",H116,IF(F116="","",ROUND((F116*(1+Ajustes!$B$3/100)*(1+IFERROR(VLOOKUP(B116,Ajustes!$A$7:$B$24,2,FALSE),0)/100)*(1+G116/100))/Ajustes!$B$4,0)*Ajustes!$B$4))</x:f>
      </x:c>
      <x:c r="J116" t="n">
        <x:v>15</x:v>
      </x:c>
    </x:row>
    <x:row r="117">
      <x:c r="A117" t="str">
        <x:v>T.TE</x:v>
      </x:c>
      <x:c r="B117" t="str">
        <x:v>Electricidad</x:v>
      </x:c>
      <x:c r="C117" s="8" t="str">
        <x:v>Tomas Corriente - Interior</x:v>
      </x:c>
      <x:c r="D117" s="8" t="str">
        <x:v>Toma Macho TIPO ENCENDEDOR 12v 24v USB + USB C</x:v>
      </x:c>
      <x:c r="E117" s="8" t="str">
        <x:v>t-te.png</x:v>
      </x:c>
      <x:c r="F117" s="30"/>
      <x:c r="G117" s="34" t="n">
        <x:v>0</x:v>
      </x:c>
      <x:c r="H117" s="30"/>
      <x:c r="I117" s="32" t="str">
        <x:f>IF(H117&lt;&gt;"",H117,IF(F117="","",ROUND((F117*(1+Ajustes!$B$3/100)*(1+IFERROR(VLOOKUP(B117,Ajustes!$A$7:$B$24,2,FALSE),0)/100)*(1+G117/100))/Ajustes!$B$4,0)*Ajustes!$B$4))</x:f>
      </x:c>
      <x:c r="J117" t="n">
        <x:v>15</x:v>
      </x:c>
    </x:row>
    <x:row r="118">
      <x:c r="A118" t="str">
        <x:v>T.UV</x:v>
      </x:c>
      <x:c r="B118" t="str">
        <x:v>Electricidad</x:v>
      </x:c>
      <x:c r="C118" s="8" t="str">
        <x:v>Tomas Corriente - Interior</x:v>
      </x:c>
      <x:c r="D118" s="8" t="str">
        <x:v>Toma 12v 24v  USB x 2 + Voltimentro / Amperimetro</x:v>
      </x:c>
      <x:c r="E118" s="8" t="str">
        <x:v>t-uv.png</x:v>
      </x:c>
      <x:c r="F118" s="30"/>
      <x:c r="G118" s="34" t="n">
        <x:v>0</x:v>
      </x:c>
      <x:c r="H118" s="30"/>
      <x:c r="I118" s="32" t="str">
        <x:f>IF(H118&lt;&gt;"",H118,IF(F118="","",ROUND((F118*(1+Ajustes!$B$3/100)*(1+IFERROR(VLOOKUP(B118,Ajustes!$A$7:$B$24,2,FALSE),0)/100)*(1+G118/100))/Ajustes!$B$4,0)*Ajustes!$B$4))</x:f>
      </x:c>
      <x:c r="J118" t="n">
        <x:v>15</x:v>
      </x:c>
    </x:row>
    <x:row r="119">
      <x:c r="A119" t="str">
        <x:v>T.V</x:v>
      </x:c>
      <x:c r="B119" t="str">
        <x:v>Electricidad</x:v>
      </x:c>
      <x:c r="C119" s="8" t="str">
        <x:v>Tomas Corriente - Interior</x:v>
      </x:c>
      <x:c r="D119" s="8" t="str">
        <x:v>Toma 12v 24v Voltimetro / Amperimetro</x:v>
      </x:c>
      <x:c r="E119" s="8" t="str">
        <x:v>t-v.png</x:v>
      </x:c>
      <x:c r="F119" s="30"/>
      <x:c r="G119" s="34" t="n">
        <x:v>0</x:v>
      </x:c>
      <x:c r="H119" s="30"/>
      <x:c r="I119" s="32" t="str">
        <x:f>IF(H119&lt;&gt;"",H119,IF(F119="","",ROUND((F119*(1+Ajustes!$B$3/100)*(1+IFERROR(VLOOKUP(B119,Ajustes!$A$7:$B$24,2,FALSE),0)/100)*(1+G119/100))/Ajustes!$B$4,0)*Ajustes!$B$4))</x:f>
      </x:c>
      <x:c r="J119" t="n">
        <x:v>16</x:v>
      </x:c>
    </x:row>
    <x:row r="120">
      <x:c r="A120" t="str">
        <x:v>T.T</x:v>
      </x:c>
      <x:c r="B120" t="str">
        <x:v>Electricidad</x:v>
      </x:c>
      <x:c r="C120" s="8" t="str">
        <x:v>Tomas Corriente - Interior</x:v>
      </x:c>
      <x:c r="D120" s="8" t="str">
        <x:v>Toma 12v 24v TIPO TECLA - USB +USB C NEGRA</x:v>
      </x:c>
      <x:c r="E120" s="8" t="str">
        <x:v>t-t.png</x:v>
      </x:c>
      <x:c r="F120" s="30"/>
      <x:c r="G120" s="34" t="n">
        <x:v>0</x:v>
      </x:c>
      <x:c r="H120" s="30"/>
      <x:c r="I120" s="32" t="str">
        <x:f>IF(H120&lt;&gt;"",H120,IF(F120="","",ROUND((F120*(1+Ajustes!$B$3/100)*(1+IFERROR(VLOOKUP(B120,Ajustes!$A$7:$B$24,2,FALSE),0)/100)*(1+G120/100))/Ajustes!$B$4,0)*Ajustes!$B$4))</x:f>
      </x:c>
      <x:c r="J120" t="n">
        <x:v>16</x:v>
      </x:c>
    </x:row>
    <x:row r="121">
      <x:c r="A121" t="str">
        <x:v>T.USB</x:v>
      </x:c>
      <x:c r="B121" t="str">
        <x:v>Electricidad</x:v>
      </x:c>
      <x:c r="C121" s="8" t="str">
        <x:v>Tomas Corriente - Interior</x:v>
      </x:c>
      <x:c r="D121" s="8" t="str">
        <x:v>Toma 12v 24v C/ USB + USB C</x:v>
      </x:c>
      <x:c r="E121" s="8" t="str">
        <x:v>t-usb.png</x:v>
      </x:c>
      <x:c r="F121" s="30"/>
      <x:c r="G121" s="34" t="n">
        <x:v>0</x:v>
      </x:c>
      <x:c r="H121" s="30"/>
      <x:c r="I121" s="32" t="str">
        <x:f>IF(H121&lt;&gt;"",H121,IF(F121="","",ROUND((F121*(1+Ajustes!$B$3/100)*(1+IFERROR(VLOOKUP(B121,Ajustes!$A$7:$B$24,2,FALSE),0)/100)*(1+G121/100))/Ajustes!$B$4,0)*Ajustes!$B$4))</x:f>
      </x:c>
      <x:c r="J121" t="n">
        <x:v>16</x:v>
      </x:c>
    </x:row>
    <x:row r="122">
      <x:c r="A122" t="str">
        <x:v>PLE.18</x:v>
      </x:c>
      <x:c r="B122" t="str">
        <x:v>Electricidad</x:v>
      </x:c>
      <x:c r="C122" s="8" t="str">
        <x:v>Iliminación - Exterior</x:v>
      </x:c>
      <x:c r="D122" s="8" t="str">
        <x:v>Plafon LED (18) Exterior 12v cm - Luz Blanca</x:v>
      </x:c>
      <x:c r="E122" s="8" t="str">
        <x:v>ple-18.png</x:v>
      </x:c>
      <x:c r="F122" s="30"/>
      <x:c r="G122" s="34" t="n">
        <x:v>0</x:v>
      </x:c>
      <x:c r="H122" s="30"/>
      <x:c r="I122" s="32" t="str">
        <x:f>IF(H122&lt;&gt;"",H122,IF(F122="","",ROUND((F122*(1+Ajustes!$B$3/100)*(1+IFERROR(VLOOKUP(B122,Ajustes!$A$7:$B$24,2,FALSE),0)/100)*(1+G122/100))/Ajustes!$B$4,0)*Ajustes!$B$4))</x:f>
      </x:c>
      <x:c r="J122" t="n">
        <x:v>16</x:v>
      </x:c>
    </x:row>
    <x:row r="123">
      <x:c r="A123" t="str">
        <x:v>PLE.5B</x:v>
      </x:c>
      <x:c r="B123" t="str">
        <x:v>Electricidad</x:v>
      </x:c>
      <x:c r="C123" s="8" t="str">
        <x:v>Iliminación - Exterior</x:v>
      </x:c>
      <x:c r="D123" s="8" t="str">
        <x:v>Plafon LED (5) Exterior 12v - Luz Blanca</x:v>
      </x:c>
      <x:c r="E123" s="8" t="str">
        <x:v>ple-5b.png</x:v>
      </x:c>
      <x:c r="F123" s="30"/>
      <x:c r="G123" s="34" t="n">
        <x:v>0</x:v>
      </x:c>
      <x:c r="H123" s="30"/>
      <x:c r="I123" s="32" t="str">
        <x:f>IF(H123&lt;&gt;"",H123,IF(F123="","",ROUND((F123*(1+Ajustes!$B$3/100)*(1+IFERROR(VLOOKUP(B123,Ajustes!$A$7:$B$24,2,FALSE),0)/100)*(1+G123/100))/Ajustes!$B$4,0)*Ajustes!$B$4))</x:f>
      </x:c>
      <x:c r="J123" t="n">
        <x:v>16</x:v>
      </x:c>
    </x:row>
    <x:row r="124">
      <x:c r="A124" t="str">
        <x:v>PLE.6N</x:v>
      </x:c>
      <x:c r="B124" t="str">
        <x:v>Electricidad</x:v>
      </x:c>
      <x:c r="C124" s="8" t="str">
        <x:v>Iliminación - Exterior</x:v>
      </x:c>
      <x:c r="D124" s="8" t="str">
        <x:v>Plafon LED (6) Exterior 12v 24v</x:v>
      </x:c>
      <x:c r="E124" s="8" t="str">
        <x:v>ple-6n.png</x:v>
      </x:c>
      <x:c r="F124" s="30"/>
      <x:c r="G124" s="34" t="n">
        <x:v>0</x:v>
      </x:c>
      <x:c r="H124" s="30"/>
      <x:c r="I124" s="32" t="str">
        <x:f>IF(H124&lt;&gt;"",H124,IF(F124="","",ROUND((F124*(1+Ajustes!$B$3/100)*(1+IFERROR(VLOOKUP(B124,Ajustes!$A$7:$B$24,2,FALSE),0)/100)*(1+G124/100))/Ajustes!$B$4,0)*Ajustes!$B$4))</x:f>
      </x:c>
      <x:c r="J124" t="n">
        <x:v>16</x:v>
      </x:c>
    </x:row>
    <x:row r="125">
      <x:c r="A125" t="str">
        <x:v>PLE.6</x:v>
      </x:c>
      <x:c r="B125" t="str">
        <x:v>Electricidad</x:v>
      </x:c>
      <x:c r="C125" s="8" t="str">
        <x:v>Iliminación - Exterior</x:v>
      </x:c>
      <x:c r="D125" s="8" t="str">
        <x:v>Plafon LED (6) Exterior 12v 24v - Luz Blanca</x:v>
      </x:c>
      <x:c r="E125" s="8" t="str">
        <x:v>ple-6.png</x:v>
      </x:c>
      <x:c r="F125" s="30"/>
      <x:c r="G125" s="34" t="n">
        <x:v>0</x:v>
      </x:c>
      <x:c r="H125" s="30"/>
      <x:c r="I125" s="32" t="str">
        <x:f>IF(H125&lt;&gt;"",H125,IF(F125="","",ROUND((F125*(1+Ajustes!$B$3/100)*(1+IFERROR(VLOOKUP(B125,Ajustes!$A$7:$B$24,2,FALSE),0)/100)*(1+G125/100))/Ajustes!$B$4,0)*Ajustes!$B$4))</x:f>
      </x:c>
      <x:c r="J125" t="n">
        <x:v>16</x:v>
      </x:c>
    </x:row>
    <x:row r="126">
      <x:c r="A126" t="str">
        <x:v>PLR.13</x:v>
      </x:c>
      <x:c r="B126" t="str">
        <x:v>Electricidad</x:v>
      </x:c>
      <x:c r="C126" s="8" t="str">
        <x:v>Iliminación - Interior</x:v>
      </x:c>
      <x:c r="D126" s="8" t="str">
        <x:v>Plafon LED 12v</x:v>
      </x:c>
      <x:c r="E126" s="8" t="str">
        <x:v>plr-13.png</x:v>
      </x:c>
      <x:c r="F126" s="30"/>
      <x:c r="G126" s="34" t="n">
        <x:v>0</x:v>
      </x:c>
      <x:c r="H126" s="30"/>
      <x:c r="I126" s="32" t="str">
        <x:f>IF(H126&lt;&gt;"",H126,IF(F126="","",ROUND((F126*(1+Ajustes!$B$3/100)*(1+IFERROR(VLOOKUP(B126,Ajustes!$A$7:$B$24,2,FALSE),0)/100)*(1+G126/100))/Ajustes!$B$4,0)*Ajustes!$B$4))</x:f>
      </x:c>
      <x:c r="J126" t="n">
        <x:v>16</x:v>
      </x:c>
    </x:row>
    <x:row r="127">
      <x:c r="A127" t="str">
        <x:v>PLR.8</x:v>
      </x:c>
      <x:c r="B127" t="str">
        <x:v>Electricidad</x:v>
      </x:c>
      <x:c r="C127" s="8" t="str">
        <x:v>Iliminación - Interior</x:v>
      </x:c>
      <x:c r="D127" s="8" t="str">
        <x:v>Plafon LED 12v</x:v>
      </x:c>
      <x:c r="E127" s="8" t="str">
        <x:v>plr-8.png</x:v>
      </x:c>
      <x:c r="F127" s="30"/>
      <x:c r="G127" s="34" t="n">
        <x:v>0</x:v>
      </x:c>
      <x:c r="H127" s="30"/>
      <x:c r="I127" s="32" t="str">
        <x:f>IF(H127&lt;&gt;"",H127,IF(F127="","",ROUND((F127*(1+Ajustes!$B$3/100)*(1+IFERROR(VLOOKUP(B127,Ajustes!$A$7:$B$24,2,FALSE),0)/100)*(1+G127/100))/Ajustes!$B$4,0)*Ajustes!$B$4))</x:f>
      </x:c>
      <x:c r="J127" t="n">
        <x:v>17</x:v>
      </x:c>
    </x:row>
    <x:row r="128">
      <x:c r="A128" t="str">
        <x:v>PLR.14.5.M</x:v>
      </x:c>
      <x:c r="B128" t="str">
        <x:v>Electricidad</x:v>
      </x:c>
      <x:c r="C128" s="8" t="str">
        <x:v>Iliminación - Interior</x:v>
      </x:c>
      <x:c r="D128" s="8" t="str">
        <x:v>Plafon LED 12v</x:v>
      </x:c>
      <x:c r="E128" s="8" t="str">
        <x:v>plr-14-5-m.png</x:v>
      </x:c>
      <x:c r="F128" s="30"/>
      <x:c r="G128" s="34" t="n">
        <x:v>0</x:v>
      </x:c>
      <x:c r="H128" s="30"/>
      <x:c r="I128" s="32" t="str">
        <x:f>IF(H128&lt;&gt;"",H128,IF(F128="","",ROUND((F128*(1+Ajustes!$B$3/100)*(1+IFERROR(VLOOKUP(B128,Ajustes!$A$7:$B$24,2,FALSE),0)/100)*(1+G128/100))/Ajustes!$B$4,0)*Ajustes!$B$4))</x:f>
      </x:c>
      <x:c r="J128" t="n">
        <x:v>17</x:v>
      </x:c>
    </x:row>
    <x:row r="129">
      <x:c r="A129" t="str">
        <x:v>PLR.10.5.M</x:v>
      </x:c>
      <x:c r="B129" t="str">
        <x:v>Electricidad</x:v>
      </x:c>
      <x:c r="C129" s="8" t="str">
        <x:v>Iliminación - Interior</x:v>
      </x:c>
      <x:c r="D129" s="8" t="str">
        <x:v>Plafon LED 12v</x:v>
      </x:c>
      <x:c r="E129" s="8" t="str">
        <x:v>plr-10-5-m.png</x:v>
      </x:c>
      <x:c r="F129" s="30"/>
      <x:c r="G129" s="34" t="n">
        <x:v>0</x:v>
      </x:c>
      <x:c r="H129" s="30"/>
      <x:c r="I129" s="32" t="str">
        <x:f>IF(H129&lt;&gt;"",H129,IF(F129="","",ROUND((F129*(1+Ajustes!$B$3/100)*(1+IFERROR(VLOOKUP(B129,Ajustes!$A$7:$B$24,2,FALSE),0)/100)*(1+G129/100))/Ajustes!$B$4,0)*Ajustes!$B$4))</x:f>
      </x:c>
      <x:c r="J129" t="n">
        <x:v>17</x:v>
      </x:c>
    </x:row>
    <x:row r="130">
      <x:c r="A130" t="str">
        <x:v>PLS.10.5</x:v>
      </x:c>
      <x:c r="B130" t="str">
        <x:v>Electricidad</x:v>
      </x:c>
      <x:c r="C130" s="8" t="str">
        <x:v>Iliminación - Interior</x:v>
      </x:c>
      <x:c r="D130" s="8" t="str">
        <x:v>Plafon LED Spot 12v 24v</x:v>
      </x:c>
      <x:c r="E130" s="8" t="str">
        <x:v>pls-10-5.png</x:v>
      </x:c>
      <x:c r="F130" s="30"/>
      <x:c r="G130" s="34" t="n">
        <x:v>0</x:v>
      </x:c>
      <x:c r="H130" s="30"/>
      <x:c r="I130" s="32" t="str">
        <x:f>IF(H130&lt;&gt;"",H130,IF(F130="","",ROUND((F130*(1+Ajustes!$B$3/100)*(1+IFERROR(VLOOKUP(B130,Ajustes!$A$7:$B$24,2,FALSE),0)/100)*(1+G130/100))/Ajustes!$B$4,0)*Ajustes!$B$4))</x:f>
      </x:c>
      <x:c r="J130" t="n">
        <x:v>17</x:v>
      </x:c>
    </x:row>
    <x:row r="131">
      <x:c r="A131" t="str">
        <x:v>PLS.7</x:v>
      </x:c>
      <x:c r="B131" t="str">
        <x:v>Electricidad</x:v>
      </x:c>
      <x:c r="C131" s="8" t="str">
        <x:v>Iliminación - Interior</x:v>
      </x:c>
      <x:c r="D131" s="8" t="str">
        <x:v>Plafon LED Spot 12v 24v</x:v>
      </x:c>
      <x:c r="E131" s="8" t="str">
        <x:v>pls-7.png</x:v>
      </x:c>
      <x:c r="F131" s="30"/>
      <x:c r="G131" s="34" t="n">
        <x:v>0</x:v>
      </x:c>
      <x:c r="H131" s="30"/>
      <x:c r="I131" s="32" t="str">
        <x:f>IF(H131&lt;&gt;"",H131,IF(F131="","",ROUND((F131*(1+Ajustes!$B$3/100)*(1+IFERROR(VLOOKUP(B131,Ajustes!$A$7:$B$24,2,FALSE),0)/100)*(1+G131/100))/Ajustes!$B$4,0)*Ajustes!$B$4))</x:f>
      </x:c>
      <x:c r="J131" t="n">
        <x:v>17</x:v>
      </x:c>
    </x:row>
    <x:row r="132">
      <x:c r="A132" t="str">
        <x:v>PLS.4</x:v>
      </x:c>
      <x:c r="B132" t="str">
        <x:v>Electricidad</x:v>
      </x:c>
      <x:c r="C132" s="8" t="str">
        <x:v>Iliminación - Interior</x:v>
      </x:c>
      <x:c r="D132" s="8" t="str">
        <x:v>Plafon LED (4) Spot 12v</x:v>
      </x:c>
      <x:c r="E132" s="8" t="str">
        <x:v>pls-4.png</x:v>
      </x:c>
      <x:c r="F132" s="30"/>
      <x:c r="G132" s="34" t="n">
        <x:v>0</x:v>
      </x:c>
      <x:c r="H132" s="30"/>
      <x:c r="I132" s="32" t="str">
        <x:f>IF(H132&lt;&gt;"",H132,IF(F132="","",ROUND((F132*(1+Ajustes!$B$3/100)*(1+IFERROR(VLOOKUP(B132,Ajustes!$A$7:$B$24,2,FALSE),0)/100)*(1+G132/100))/Ajustes!$B$4,0)*Ajustes!$B$4))</x:f>
      </x:c>
      <x:c r="J132" t="n">
        <x:v>17</x:v>
      </x:c>
    </x:row>
    <x:row r="133">
      <x:c r="A133" t="str">
        <x:v>PLS.6</x:v>
      </x:c>
      <x:c r="B133" t="str">
        <x:v>Electricidad</x:v>
      </x:c>
      <x:c r="C133" s="8" t="str">
        <x:v>Iliminación - Interior</x:v>
      </x:c>
      <x:c r="D133" s="8" t="str">
        <x:v>Plafon LED (6) Spot 12v</x:v>
      </x:c>
      <x:c r="E133" s="8" t="str">
        <x:v>pls-6.png</x:v>
      </x:c>
      <x:c r="F133" s="30"/>
      <x:c r="G133" s="34" t="n">
        <x:v>0</x:v>
      </x:c>
      <x:c r="H133" s="30"/>
      <x:c r="I133" s="32" t="str">
        <x:f>IF(H133&lt;&gt;"",H133,IF(F133="","",ROUND((F133*(1+Ajustes!$B$3/100)*(1+IFERROR(VLOOKUP(B133,Ajustes!$A$7:$B$24,2,FALSE),0)/100)*(1+G133/100))/Ajustes!$B$4,0)*Ajustes!$B$4))</x:f>
      </x:c>
      <x:c r="J133" t="n">
        <x:v>17</x:v>
      </x:c>
    </x:row>
    <x:row r="134">
      <x:c r="A134" t="str">
        <x:v>PLS.18</x:v>
      </x:c>
      <x:c r="B134" t="str">
        <x:v>Electricidad</x:v>
      </x:c>
      <x:c r="C134" s="8" t="str">
        <x:v>Iliminación - Interior</x:v>
      </x:c>
      <x:c r="D134" s="8" t="str">
        <x:v>Plafon LED (18) Spot 12v</x:v>
      </x:c>
      <x:c r="E134" s="8" t="str">
        <x:v>pls-18.png</x:v>
      </x:c>
      <x:c r="F134" s="30"/>
      <x:c r="G134" s="34" t="n">
        <x:v>0</x:v>
      </x:c>
      <x:c r="H134" s="30"/>
      <x:c r="I134" s="32" t="str">
        <x:f>IF(H134&lt;&gt;"",H134,IF(F134="","",ROUND((F134*(1+Ajustes!$B$3/100)*(1+IFERROR(VLOOKUP(B134,Ajustes!$A$7:$B$24,2,FALSE),0)/100)*(1+G134/100))/Ajustes!$B$4,0)*Ajustes!$B$4))</x:f>
      </x:c>
      <x:c r="J134" t="n">
        <x:v>17</x:v>
      </x:c>
    </x:row>
    <x:row r="135">
      <x:c r="A135" t="str">
        <x:v>PLT.12</x:v>
      </x:c>
      <x:c r="B135" t="str">
        <x:v>Electrodomésticos</x:v>
      </x:c>
      <x:c r="C135" s="8" t="str">
        <x:v>Iliminación - Interior</x:v>
      </x:c>
      <x:c r="D135" s="8" t="str">
        <x:v>Plafon LED (12) Tira 12v 24v + Tecla-Switch - Luz Blanca</x:v>
      </x:c>
      <x:c r="E135" s="8" t="str">
        <x:v>plt-12.png</x:v>
      </x:c>
      <x:c r="F135" s="30"/>
      <x:c r="G135" s="34" t="n">
        <x:v>0</x:v>
      </x:c>
      <x:c r="H135" s="30"/>
      <x:c r="I135" s="32" t="str">
        <x:f>IF(H135&lt;&gt;"",H135,IF(F135="","",ROUND((F135*(1+Ajustes!$B$3/100)*(1+IFERROR(VLOOKUP(B135,Ajustes!$A$7:$B$24,2,FALSE),0)/100)*(1+G135/100))/Ajustes!$B$4,0)*Ajustes!$B$4))</x:f>
      </x:c>
      <x:c r="J135" t="n">
        <x:v>18</x:v>
      </x:c>
    </x:row>
    <x:row r="136">
      <x:c r="A136" t="str">
        <x:v>PLT.30</x:v>
      </x:c>
      <x:c r="B136" t="str">
        <x:v>Electrodomésticos</x:v>
      </x:c>
      <x:c r="C136" s="8" t="str">
        <x:v>Iliminación - Interior</x:v>
      </x:c>
      <x:c r="D136" s="8" t="str">
        <x:v>Plafon LED (30) Tira 12v 24v - Aluminio</x:v>
      </x:c>
      <x:c r="E136" s="8" t="str">
        <x:v>plt-30.png</x:v>
      </x:c>
      <x:c r="F136" s="30"/>
      <x:c r="G136" s="34" t="n">
        <x:v>0</x:v>
      </x:c>
      <x:c r="H136" s="30"/>
      <x:c r="I136" s="32" t="str">
        <x:f>IF(H136&lt;&gt;"",H136,IF(F136="","",ROUND((F136*(1+Ajustes!$B$3/100)*(1+IFERROR(VLOOKUP(B136,Ajustes!$A$7:$B$24,2,FALSE),0)/100)*(1+G136/100))/Ajustes!$B$4,0)*Ajustes!$B$4))</x:f>
      </x:c>
      <x:c r="J136" t="n">
        <x:v>18</x:v>
      </x:c>
    </x:row>
    <x:row r="137">
      <x:c r="A137" t="str">
        <x:v>LL.T</x:v>
      </x:c>
      <x:c r="B137" t="str">
        <x:v>Electrodomésticos</x:v>
      </x:c>
      <x:c r="C137" s="8" t="str">
        <x:v>Iliminación - Interior</x:v>
      </x:c>
      <x:c r="D137" s="8" t="str">
        <x:v>Luz de Lectura LED 12v 24v</x:v>
      </x:c>
      <x:c r="E137" s="8" t="str">
        <x:v>ll-t.png</x:v>
      </x:c>
      <x:c r="F137" s="30"/>
      <x:c r="G137" s="34" t="n">
        <x:v>0</x:v>
      </x:c>
      <x:c r="H137" s="30"/>
      <x:c r="I137" s="32" t="str">
        <x:f>IF(H137&lt;&gt;"",H137,IF(F137="","",ROUND((F137*(1+Ajustes!$B$3/100)*(1+IFERROR(VLOOKUP(B137,Ajustes!$A$7:$B$24,2,FALSE),0)/100)*(1+G137/100))/Ajustes!$B$4,0)*Ajustes!$B$4))</x:f>
      </x:c>
      <x:c r="J137" t="n">
        <x:v>18</x:v>
      </x:c>
    </x:row>
    <x:row r="138">
      <x:c r="A138" t="str">
        <x:v>LL.FTU</x:v>
      </x:c>
      <x:c r="B138" t="str">
        <x:v>Electrodomésticos</x:v>
      </x:c>
      <x:c r="C138" s="8" t="str">
        <x:v>Iliminación - Interior</x:v>
      </x:c>
      <x:c r="D138" s="8" t="str">
        <x:v>Luz de Lectura LED 12v 24v</x:v>
      </x:c>
      <x:c r="E138" s="8" t="str">
        <x:v>ll-ftu.png</x:v>
      </x:c>
      <x:c r="F138" s="30"/>
      <x:c r="G138" s="34" t="n">
        <x:v>0</x:v>
      </x:c>
      <x:c r="H138" s="30"/>
      <x:c r="I138" s="32" t="str">
        <x:f>IF(H138&lt;&gt;"",H138,IF(F138="","",ROUND((F138*(1+Ajustes!$B$3/100)*(1+IFERROR(VLOOKUP(B138,Ajustes!$A$7:$B$24,2,FALSE),0)/100)*(1+G138/100))/Ajustes!$B$4,0)*Ajustes!$B$4))</x:f>
      </x:c>
      <x:c r="J138" t="n">
        <x:v>18</x:v>
      </x:c>
    </x:row>
    <x:row r="139">
      <x:c r="A139" t="str">
        <x:v>LL.FTUN</x:v>
      </x:c>
      <x:c r="B139" t="str">
        <x:v>Electrodomésticos</x:v>
      </x:c>
      <x:c r="C139" s="8" t="str">
        <x:v>Iliminación - Interior</x:v>
      </x:c>
      <x:c r="D139" s="8" t="str">
        <x:v>Luz de Lectura LED 12v 24v</x:v>
      </x:c>
      <x:c r="E139" s="8" t="str">
        <x:v>ll-ftun.png</x:v>
      </x:c>
      <x:c r="F139" s="30"/>
      <x:c r="G139" s="34" t="n">
        <x:v>0</x:v>
      </x:c>
      <x:c r="H139" s="30"/>
      <x:c r="I139" s="32" t="str">
        <x:f>IF(H139&lt;&gt;"",H139,IF(F139="","",ROUND((F139*(1+Ajustes!$B$3/100)*(1+IFERROR(VLOOKUP(B139,Ajustes!$A$7:$B$24,2,FALSE),0)/100)*(1+G139/100))/Ajustes!$B$4,0)*Ajustes!$B$4))</x:f>
      </x:c>
      <x:c r="J139" t="n">
        <x:v>18</x:v>
      </x:c>
    </x:row>
    <x:row r="140">
      <x:c r="A140" t="str">
        <x:v>T.24S.12</x:v>
      </x:c>
      <x:c r="B140" t="str">
        <x:v>Electrodomésticos</x:v>
      </x:c>
      <x:c r="C140" s="8" t="str">
        <x:v>Televisores 12v</x:v>
      </x:c>
      <x:c r="D140" s="8" t="str">
        <x:v>TV KODAK 24" SMART ONN C/Control de Voz</x:v>
      </x:c>
      <x:c r="E140" s="8" t="str">
        <x:v>t-24s-12.png</x:v>
      </x:c>
      <x:c r="F140" s="30"/>
      <x:c r="G140" s="34" t="n">
        <x:v>0</x:v>
      </x:c>
      <x:c r="H140" s="30"/>
      <x:c r="I140" s="32" t="str">
        <x:f>IF(H140&lt;&gt;"",H140,IF(F140="","",ROUND((F140*(1+Ajustes!$B$3/100)*(1+IFERROR(VLOOKUP(B140,Ajustes!$A$7:$B$24,2,FALSE),0)/100)*(1+G140/100))/Ajustes!$B$4,0)*Ajustes!$B$4))</x:f>
      </x:c>
      <x:c r="J140" t="n">
        <x:v>18</x:v>
      </x:c>
    </x:row>
    <x:row r="141">
      <x:c r="A141" t="str">
        <x:v>T.24.12</x:v>
      </x:c>
      <x:c r="B141" t="str">
        <x:v>Electrodomésticos</x:v>
      </x:c>
      <x:c r="C141" s="8" t="str">
        <x:v>Televisores 12v</x:v>
      </x:c>
      <x:c r="D141" s="8" t="str">
        <x:v>TV KODAK 24"</x:v>
      </x:c>
      <x:c r="E141" s="8" t="str">
        <x:v>t-24-12.png</x:v>
      </x:c>
      <x:c r="F141" s="30"/>
      <x:c r="G141" s="34" t="n">
        <x:v>0</x:v>
      </x:c>
      <x:c r="H141" s="30"/>
      <x:c r="I141" s="32" t="str">
        <x:f>IF(H141&lt;&gt;"",H141,IF(F141="","",ROUND((F141*(1+Ajustes!$B$3/100)*(1+IFERROR(VLOOKUP(B141,Ajustes!$A$7:$B$24,2,FALSE),0)/100)*(1+G141/100))/Ajustes!$B$4,0)*Ajustes!$B$4))</x:f>
      </x:c>
      <x:c r="J141" t="n">
        <x:v>18</x:v>
      </x:c>
    </x:row>
    <x:row r="142">
      <x:c r="A142" t="str">
        <x:v>TS.19.12220</x:v>
      </x:c>
      <x:c r="B142" t="str">
        <x:v>Electrodomésticos</x:v>
      </x:c>
      <x:c r="C142" s="8" t="str">
        <x:v>Televisores 12v</x:v>
      </x:c>
      <x:c r="D142" s="8" t="str">
        <x:v>TV Smart 19"</x:v>
      </x:c>
      <x:c r="E142" s="8" t="str">
        <x:v>ts-19-12220.png</x:v>
      </x:c>
      <x:c r="F142" s="30"/>
      <x:c r="G142" s="34" t="n">
        <x:v>0</x:v>
      </x:c>
      <x:c r="H142" s="30"/>
      <x:c r="I142" s="32" t="str">
        <x:f>IF(H142&lt;&gt;"",H142,IF(F142="","",ROUND((F142*(1+Ajustes!$B$3/100)*(1+IFERROR(VLOOKUP(B142,Ajustes!$A$7:$B$24,2,FALSE),0)/100)*(1+G142/100))/Ajustes!$B$4,0)*Ajustes!$B$4))</x:f>
      </x:c>
      <x:c r="J142" t="n">
        <x:v>19</x:v>
      </x:c>
    </x:row>
    <x:row r="143">
      <x:c r="A143" t="str">
        <x:v>TS.22.12220</x:v>
      </x:c>
      <x:c r="B143" t="str">
        <x:v>Electrodomésticos</x:v>
      </x:c>
      <x:c r="C143" s="8" t="str">
        <x:v>Televisores 12v</x:v>
      </x:c>
      <x:c r="D143" s="8" t="str">
        <x:v>TV Smart 22"</x:v>
      </x:c>
      <x:c r="E143" s="8" t="str">
        <x:v>ts-22-12220.png</x:v>
      </x:c>
      <x:c r="F143" s="30"/>
      <x:c r="G143" s="34" t="n">
        <x:v>0</x:v>
      </x:c>
      <x:c r="H143" s="30"/>
      <x:c r="I143" s="32" t="str">
        <x:f>IF(H143&lt;&gt;"",H143,IF(F143="","",ROUND((F143*(1+Ajustes!$B$3/100)*(1+IFERROR(VLOOKUP(B143,Ajustes!$A$7:$B$24,2,FALSE),0)/100)*(1+G143/100))/Ajustes!$B$4,0)*Ajustes!$B$4))</x:f>
      </x:c>
      <x:c r="J143" t="n">
        <x:v>19</x:v>
      </x:c>
    </x:row>
    <x:row r="144">
      <x:c r="A144" t="str">
        <x:v>TS.24.12220</x:v>
      </x:c>
      <x:c r="B144" t="str">
        <x:v>Electrodomésticos</x:v>
      </x:c>
      <x:c r="C144" s="8" t="str">
        <x:v>Televisores 12v</x:v>
      </x:c>
      <x:c r="D144" s="8" t="str">
        <x:v>TV Smart 24"</x:v>
      </x:c>
      <x:c r="E144" s="8" t="str">
        <x:v>ts-24-12220.png</x:v>
      </x:c>
      <x:c r="F144" s="30"/>
      <x:c r="G144" s="34" t="n">
        <x:v>0</x:v>
      </x:c>
      <x:c r="H144" s="30"/>
      <x:c r="I144" s="32" t="str">
        <x:f>IF(H144&lt;&gt;"",H144,IF(F144="","",ROUND((F144*(1+Ajustes!$B$3/100)*(1+IFERROR(VLOOKUP(B144,Ajustes!$A$7:$B$24,2,FALSE),0)/100)*(1+G144/100))/Ajustes!$B$4,0)*Ajustes!$B$4))</x:f>
      </x:c>
      <x:c r="J144" t="n">
        <x:v>19</x:v>
      </x:c>
    </x:row>
    <x:row r="145">
      <x:c r="A145" t="str">
        <x:v>T.S</x:v>
      </x:c>
      <x:c r="B145" t="str">
        <x:v>Electrodomésticos</x:v>
      </x:c>
      <x:c r="C145" s="8" t="str">
        <x:v>Accesorios para Televisores</x:v>
      </x:c>
      <x:c r="D145" s="8" t="str">
        <x:v>Soporte para TV 24"</x:v>
      </x:c>
      <x:c r="E145" s="8" t="str">
        <x:v>t-s.png</x:v>
      </x:c>
      <x:c r="F145" s="30"/>
      <x:c r="G145" s="34" t="n">
        <x:v>0</x:v>
      </x:c>
      <x:c r="H145" s="30"/>
      <x:c r="I145" s="32" t="str">
        <x:f>IF(H145&lt;&gt;"",H145,IF(F145="","",ROUND((F145*(1+Ajustes!$B$3/100)*(1+IFERROR(VLOOKUP(B145,Ajustes!$A$7:$B$24,2,FALSE),0)/100)*(1+G145/100))/Ajustes!$B$4,0)*Ajustes!$B$4))</x:f>
      </x:c>
      <x:c r="J145" t="n">
        <x:v>19</x:v>
      </x:c>
    </x:row>
    <x:row r="146">
      <x:c r="A146" t="str">
        <x:v>C.6.KGE</x:v>
      </x:c>
      <x:c r="B146" t="str">
        <x:v>Calefacción</x:v>
      </x:c>
      <x:c r="C146" s="8" t="str">
        <x:v>Calefones y Ventilación</x:v>
      </x:c>
      <x:c r="D146" s="8" t="str">
        <x:v>Calefon 6L - Sin Llama Piloto</x:v>
      </x:c>
      <x:c r="E146" s="8" t="str">
        <x:v>c-6-kge.png</x:v>
      </x:c>
      <x:c r="F146" s="30"/>
      <x:c r="G146" s="34" t="n">
        <x:v>0</x:v>
      </x:c>
      <x:c r="H146" s="30"/>
      <x:c r="I146" s="32" t="str">
        <x:f>IF(H146&lt;&gt;"",H146,IF(F146="","",ROUND((F146*(1+Ajustes!$B$3/100)*(1+IFERROR(VLOOKUP(B146,Ajustes!$A$7:$B$24,2,FALSE),0)/100)*(1+G146/100))/Ajustes!$B$4,0)*Ajustes!$B$4))</x:f>
      </x:c>
      <x:c r="J146" t="n">
        <x:v>19</x:v>
      </x:c>
    </x:row>
    <x:row r="147">
      <x:c r="A147" t="str">
        <x:v>C.6.BMGE</x:v>
      </x:c>
      <x:c r="B147" t="str">
        <x:v>Calefacción</x:v>
      </x:c>
      <x:c r="C147" s="8" t="str">
        <x:v>Calefones y Ventilación</x:v>
      </x:c>
      <x:c r="D147" s="8" t="str">
        <x:v>Calefon 6L - Sin Llama Piloto</x:v>
      </x:c>
      <x:c r="E147" s="8" t="str">
        <x:v>c-6-bmge.png</x:v>
      </x:c>
      <x:c r="F147" s="30"/>
      <x:c r="G147" s="34" t="n">
        <x:v>0</x:v>
      </x:c>
      <x:c r="H147" s="30"/>
      <x:c r="I147" s="32" t="str">
        <x:f>IF(H147&lt;&gt;"",H147,IF(F147="","",ROUND((F147*(1+Ajustes!$B$3/100)*(1+IFERROR(VLOOKUP(B147,Ajustes!$A$7:$B$24,2,FALSE),0)/100)*(1+G147/100))/Ajustes!$B$4,0)*Ajustes!$B$4))</x:f>
      </x:c>
      <x:c r="J147" t="n">
        <x:v>19</x:v>
      </x:c>
    </x:row>
    <x:row r="148">
      <x:c r="A148" t="str">
        <x:v>C.6.BMGN</x:v>
      </x:c>
      <x:c r="B148" t="str">
        <x:v>Calefacción</x:v>
      </x:c>
      <x:c r="C148" s="8" t="str">
        <x:v>Calefones y Ventilación</x:v>
      </x:c>
      <x:c r="D148" s="8" t="str">
        <x:v>Calefon 6L - Sin Llama Piloto</x:v>
      </x:c>
      <x:c r="E148" s="8" t="str">
        <x:v>c-6-bmgn.png</x:v>
      </x:c>
      <x:c r="F148" s="30"/>
      <x:c r="G148" s="34" t="n">
        <x:v>0</x:v>
      </x:c>
      <x:c r="H148" s="30"/>
      <x:c r="I148" s="32" t="str">
        <x:f>IF(H148&lt;&gt;"",H148,IF(F148="","",ROUND((F148*(1+Ajustes!$B$3/100)*(1+IFERROR(VLOOKUP(B148,Ajustes!$A$7:$B$24,2,FALSE),0)/100)*(1+G148/100))/Ajustes!$B$4,0)*Ajustes!$B$4))</x:f>
      </x:c>
      <x:c r="J148" t="n">
        <x:v>19</x:v>
      </x:c>
    </x:row>
    <x:row r="149">
      <x:c r="A149" t="str">
        <x:v>C.6.BGE</x:v>
      </x:c>
      <x:c r="B149" t="str">
        <x:v>Calefacción</x:v>
      </x:c>
      <x:c r="C149" s="8" t="str">
        <x:v>Calefones y Ventilación</x:v>
      </x:c>
      <x:c r="D149" s="8" t="str">
        <x:v>Calefon 6L - Con Llama Piloto</x:v>
      </x:c>
      <x:c r="E149" s="8" t="str">
        <x:v>c-6-bge.png</x:v>
      </x:c>
      <x:c r="F149" s="30"/>
      <x:c r="G149" s="34" t="n">
        <x:v>0</x:v>
      </x:c>
      <x:c r="H149" s="30"/>
      <x:c r="I149" s="32" t="str">
        <x:f>IF(H149&lt;&gt;"",H149,IF(F149="","",ROUND((F149*(1+Ajustes!$B$3/100)*(1+IFERROR(VLOOKUP(B149,Ajustes!$A$7:$B$24,2,FALSE),0)/100)*(1+G149/100))/Ajustes!$B$4,0)*Ajustes!$B$4))</x:f>
      </x:c>
      <x:c r="J149" t="n">
        <x:v>19</x:v>
      </x:c>
    </x:row>
    <x:row r="150">
      <x:c r="A150" t="str">
        <x:v>C.6.BGN</x:v>
      </x:c>
      <x:c r="B150" t="str">
        <x:v>Calefacción</x:v>
      </x:c>
      <x:c r="C150" s="8" t="str">
        <x:v>Calefones y Ventilación</x:v>
      </x:c>
      <x:c r="D150" s="8" t="str">
        <x:v>Calefon 6L - Con Llama Piloto</x:v>
      </x:c>
      <x:c r="E150" s="8" t="str">
        <x:v>c-6-bgn.png</x:v>
      </x:c>
      <x:c r="F150" s="30"/>
      <x:c r="G150" s="34" t="n">
        <x:v>0</x:v>
      </x:c>
      <x:c r="H150" s="30"/>
      <x:c r="I150" s="32" t="str">
        <x:f>IF(H150&lt;&gt;"",H150,IF(F150="","",ROUND((F150*(1+Ajustes!$B$3/100)*(1+IFERROR(VLOOKUP(B150,Ajustes!$A$7:$B$24,2,FALSE),0)/100)*(1+G150/100))/Ajustes!$B$4,0)*Ajustes!$B$4))</x:f>
      </x:c>
      <x:c r="J150" t="n">
        <x:v>20</x:v>
      </x:c>
    </x:row>
    <x:row r="151">
      <x:c r="A151" t="str">
        <x:v>HAVC</x:v>
      </x:c>
      <x:c r="B151" t="str">
        <x:v>Calefacción</x:v>
      </x:c>
      <x:c r="C151" s="8" t="str">
        <x:v>Calefones y Ventilación</x:v>
      </x:c>
      <x:c r="D151" s="8" t="str">
        <x:v>Hongo de Aluminio P/Ventilacion - Chico 4"</x:v>
      </x:c>
      <x:c r="E151" s="8" t="str">
        <x:v>havc.png</x:v>
      </x:c>
      <x:c r="F151" s="30"/>
      <x:c r="G151" s="34" t="n">
        <x:v>0</x:v>
      </x:c>
      <x:c r="H151" s="30"/>
      <x:c r="I151" s="32" t="str">
        <x:f>IF(H151&lt;&gt;"",H151,IF(F151="","",ROUND((F151*(1+Ajustes!$B$3/100)*(1+IFERROR(VLOOKUP(B151,Ajustes!$A$7:$B$24,2,FALSE),0)/100)*(1+G151/100))/Ajustes!$B$4,0)*Ajustes!$B$4))</x:f>
      </x:c>
      <x:c r="J151" t="n">
        <x:v>20</x:v>
      </x:c>
    </x:row>
    <x:row r="152">
      <x:c r="A152" t="str">
        <x:v>HAVG</x:v>
      </x:c>
      <x:c r="B152" t="str">
        <x:v>Calefacción</x:v>
      </x:c>
      <x:c r="C152" s="8" t="str">
        <x:v>Calefones y Ventilación</x:v>
      </x:c>
      <x:c r="D152" s="8" t="str">
        <x:v>Hongo de Aluminio P/Ventilacion - Grande 4"</x:v>
      </x:c>
      <x:c r="E152" s="8" t="str">
        <x:v>havg.png</x:v>
      </x:c>
      <x:c r="F152" s="30"/>
      <x:c r="G152" s="34" t="n">
        <x:v>0</x:v>
      </x:c>
      <x:c r="H152" s="30"/>
      <x:c r="I152" s="32" t="str">
        <x:f>IF(H152&lt;&gt;"",H152,IF(F152="","",ROUND((F152*(1+Ajustes!$B$3/100)*(1+IFERROR(VLOOKUP(B152,Ajustes!$A$7:$B$24,2,FALSE),0)/100)*(1+G152/100))/Ajustes!$B$4,0)*Ajustes!$B$4))</x:f>
      </x:c>
      <x:c r="J152" t="n">
        <x:v>20</x:v>
      </x:c>
    </x:row>
    <x:row r="153">
      <x:c r="A153" t="str">
        <x:v>HAVL</x:v>
      </x:c>
      <x:c r="B153" t="str">
        <x:v>Calefacción</x:v>
      </x:c>
      <x:c r="C153" s="8" t="str">
        <x:v>Calefones y Ventilación</x:v>
      </x:c>
      <x:c r="D153" s="8" t="str">
        <x:v>Hongo de Aluminio P/Ventilacion - Lateral 4"</x:v>
      </x:c>
      <x:c r="E153" s="8" t="str">
        <x:v>havl.png</x:v>
      </x:c>
      <x:c r="F153" s="30"/>
      <x:c r="G153" s="34" t="n">
        <x:v>0</x:v>
      </x:c>
      <x:c r="H153" s="30"/>
      <x:c r="I153" s="32" t="str">
        <x:f>IF(H153&lt;&gt;"",H153,IF(F153="","",ROUND((F153*(1+Ajustes!$B$3/100)*(1+IFERROR(VLOOKUP(B153,Ajustes!$A$7:$B$24,2,FALSE),0)/100)*(1+G153/100))/Ajustes!$B$4,0)*Ajustes!$B$4))</x:f>
      </x:c>
      <x:c r="J153" t="n">
        <x:v>20</x:v>
      </x:c>
    </x:row>
    <x:row r="154">
      <x:c r="A154" t="str">
        <x:v>T.12</x:v>
      </x:c>
      <x:c r="B154" t="str">
        <x:v>Calefacción</x:v>
      </x:c>
      <x:c r="C154" s="8" t="str">
        <x:v>Calentadores 12v</x:v>
      </x:c>
      <x:c r="D154" s="8" t="str">
        <x:v>Termo Electrico P/Ficha Encendedor</x:v>
      </x:c>
      <x:c r="E154" s="8" t="str">
        <x:v>t-12.png</x:v>
      </x:c>
      <x:c r="F154" s="30"/>
      <x:c r="G154" s="34" t="n">
        <x:v>0</x:v>
      </x:c>
      <x:c r="H154" s="30"/>
      <x:c r="I154" s="32" t="str">
        <x:f>IF(H154&lt;&gt;"",H154,IF(F154="","",ROUND((F154*(1+Ajustes!$B$3/100)*(1+IFERROR(VLOOKUP(B154,Ajustes!$A$7:$B$24,2,FALSE),0)/100)*(1+G154/100))/Ajustes!$B$4,0)*Ajustes!$B$4))</x:f>
      </x:c>
      <x:c r="J154" t="n">
        <x:v>20</x:v>
      </x:c>
    </x:row>
    <x:row r="155">
      <x:c r="A155" t="str">
        <x:v>P.12</x:v>
      </x:c>
      <x:c r="B155" t="str">
        <x:v>Calefacción</x:v>
      </x:c>
      <x:c r="C155" s="8" t="str">
        <x:v>Calentadores 12v</x:v>
      </x:c>
      <x:c r="D155" s="8" t="str">
        <x:v>Pava Electrica P/Ficha Encendedor</x:v>
      </x:c>
      <x:c r="E155" s="8" t="str">
        <x:v>p-12.png</x:v>
      </x:c>
      <x:c r="F155" s="30"/>
      <x:c r="G155" s="34" t="n">
        <x:v>0</x:v>
      </x:c>
      <x:c r="H155" s="30"/>
      <x:c r="I155" s="32" t="str">
        <x:f>IF(H155&lt;&gt;"",H155,IF(F155="","",ROUND((F155*(1+Ajustes!$B$3/100)*(1+IFERROR(VLOOKUP(B155,Ajustes!$A$7:$B$24,2,FALSE),0)/100)*(1+G155/100))/Ajustes!$B$4,0)*Ajustes!$B$4))</x:f>
      </x:c>
      <x:c r="J155" t="n">
        <x:v>20</x:v>
      </x:c>
    </x:row>
    <x:row r="156">
      <x:c r="A156" t="str">
        <x:v>V8.12</x:v>
      </x:c>
      <x:c r="B156" t="str">
        <x:v>Ventilación</x:v>
      </x:c>
      <x:c r="C156" s="8" t="str">
        <x:v>Ventiladores 12v</x:v>
      </x:c>
      <x:c r="D156" s="8" t="str">
        <x:v>Ventilador 8" 12v</x:v>
      </x:c>
      <x:c r="E156" s="8" t="str">
        <x:v>v8-12.png</x:v>
      </x:c>
      <x:c r="F156" s="30"/>
      <x:c r="G156" s="34" t="n">
        <x:v>0</x:v>
      </x:c>
      <x:c r="H156" s="30"/>
      <x:c r="I156" s="32" t="str">
        <x:f>IF(H156&lt;&gt;"",H156,IF(F156="","",ROUND((F156*(1+Ajustes!$B$3/100)*(1+IFERROR(VLOOKUP(B156,Ajustes!$A$7:$B$24,2,FALSE),0)/100)*(1+G156/100))/Ajustes!$B$4,0)*Ajustes!$B$4))</x:f>
      </x:c>
      <x:c r="J156" t="n">
        <x:v>20</x:v>
      </x:c>
    </x:row>
    <x:row r="157">
      <x:c r="A157" t="str">
        <x:v>V6.12</x:v>
      </x:c>
      <x:c r="B157" t="str">
        <x:v>Ventilación</x:v>
      </x:c>
      <x:c r="C157" s="8" t="str">
        <x:v>Ventiladores 12v</x:v>
      </x:c>
      <x:c r="D157" s="8" t="str">
        <x:v>Ventilador 6" 12v</x:v>
      </x:c>
      <x:c r="E157" s="8" t="str">
        <x:v>v6-12.png</x:v>
      </x:c>
      <x:c r="F157" s="30"/>
      <x:c r="G157" s="34" t="n">
        <x:v>0</x:v>
      </x:c>
      <x:c r="H157" s="30"/>
      <x:c r="I157" s="32" t="str">
        <x:f>IF(H157&lt;&gt;"",H157,IF(F157="","",ROUND((F157*(1+Ajustes!$B$3/100)*(1+IFERROR(VLOOKUP(B157,Ajustes!$A$7:$B$24,2,FALSE),0)/100)*(1+G157/100))/Ajustes!$B$4,0)*Ajustes!$B$4))</x:f>
      </x:c>
      <x:c r="J157" t="n">
        <x:v>20</x:v>
      </x:c>
    </x:row>
    <x:row r="158">
      <x:c r="A158" t="str">
        <x:v>H80.12.F</x:v>
      </x:c>
      <x:c r="B158" t="str">
        <x:v>Heladeras</x:v>
      </x:c>
      <x:c r="C158" s="8" t="str">
        <x:v>Heladeras FREUCAMP 12v 24v</x:v>
      </x:c>
      <x:c r="D158" s="8" t="str">
        <x:v>Heladera FREUCAMP C/Congelador 80L</x:v>
      </x:c>
      <x:c r="E158" s="8" t="str">
        <x:v>h80-12-f.png</x:v>
      </x:c>
      <x:c r="F158" s="30"/>
      <x:c r="G158" s="34" t="n">
        <x:v>0</x:v>
      </x:c>
      <x:c r="H158" s="30"/>
      <x:c r="I158" s="32" t="str">
        <x:f>IF(H158&lt;&gt;"",H158,IF(F158="","",ROUND((F158*(1+Ajustes!$B$3/100)*(1+IFERROR(VLOOKUP(B158,Ajustes!$A$7:$B$24,2,FALSE),0)/100)*(1+G158/100))/Ajustes!$B$4,0)*Ajustes!$B$4))</x:f>
      </x:c>
      <x:c r="J158" t="n">
        <x:v>21</x:v>
      </x:c>
    </x:row>
    <x:row r="159">
      <x:c r="A159" t="str">
        <x:v>H90.12.F</x:v>
      </x:c>
      <x:c r="B159" t="str">
        <x:v>Heladeras</x:v>
      </x:c>
      <x:c r="C159" s="8" t="str">
        <x:v>Heladeras FREUCAMP 12v 24v</x:v>
      </x:c>
      <x:c r="D159" s="8" t="str">
        <x:v>Heladera FREUCAMP C/Congelador 90L</x:v>
      </x:c>
      <x:c r="E159" s="8" t="str">
        <x:v>h90-12-f.png</x:v>
      </x:c>
      <x:c r="F159" s="30"/>
      <x:c r="G159" s="34" t="n">
        <x:v>0</x:v>
      </x:c>
      <x:c r="H159" s="30"/>
      <x:c r="I159" s="32" t="str">
        <x:f>IF(H159&lt;&gt;"",H159,IF(F159="","",ROUND((F159*(1+Ajustes!$B$3/100)*(1+IFERROR(VLOOKUP(B159,Ajustes!$A$7:$B$24,2,FALSE),0)/100)*(1+G159/100))/Ajustes!$B$4,0)*Ajustes!$B$4))</x:f>
      </x:c>
      <x:c r="J159" t="n">
        <x:v>21</x:v>
      </x:c>
    </x:row>
    <x:row r="160">
      <x:c r="A160" t="str">
        <x:v>H58.12</x:v>
      </x:c>
      <x:c r="B160" t="str">
        <x:v>Heladeras</x:v>
      </x:c>
      <x:c r="C160" s="8" t="str">
        <x:v>Heladeras FIVE OCEANS 12v 24v</x:v>
      </x:c>
      <x:c r="D160" s="8" t="str">
        <x:v>Heladera FIVE OCEANS C/Freezer 58L 12v 24v + Display Digital (Puerta reversible)</x:v>
      </x:c>
      <x:c r="E160" s="8" t="str">
        <x:v>h58-12.png</x:v>
      </x:c>
      <x:c r="F160" s="30"/>
      <x:c r="G160" s="34" t="n">
        <x:v>0</x:v>
      </x:c>
      <x:c r="H160" s="30"/>
      <x:c r="I160" s="32" t="str">
        <x:f>IF(H160&lt;&gt;"",H160,IF(F160="","",ROUND((F160*(1+Ajustes!$B$3/100)*(1+IFERROR(VLOOKUP(B160,Ajustes!$A$7:$B$24,2,FALSE),0)/100)*(1+G160/100))/Ajustes!$B$4,0)*Ajustes!$B$4))</x:f>
      </x:c>
      <x:c r="J160" t="n">
        <x:v>21</x:v>
      </x:c>
    </x:row>
    <x:row r="161">
      <x:c r="A161" t="str">
        <x:v>H85.12</x:v>
      </x:c>
      <x:c r="B161" t="str">
        <x:v>Heladeras</x:v>
      </x:c>
      <x:c r="C161" s="8" t="str">
        <x:v>Heladeras FIVE OCEANS 12v 24v</x:v>
      </x:c>
      <x:c r="D161" s="8" t="str">
        <x:v>Heladera FIVE OCEANS C/Freezer 85L 12v 24v + Display Digital</x:v>
      </x:c>
      <x:c r="E161" s="8" t="str">
        <x:v>h85-12.png</x:v>
      </x:c>
      <x:c r="F161" s="30"/>
      <x:c r="G161" s="34" t="n">
        <x:v>0</x:v>
      </x:c>
      <x:c r="H161" s="30"/>
      <x:c r="I161" s="32" t="str">
        <x:f>IF(H161&lt;&gt;"",H161,IF(F161="","",ROUND((F161*(1+Ajustes!$B$3/100)*(1+IFERROR(VLOOKUP(B161,Ajustes!$A$7:$B$24,2,FALSE),0)/100)*(1+G161/100))/Ajustes!$B$4,0)*Ajustes!$B$4))</x:f>
      </x:c>
      <x:c r="J161" t="n">
        <x:v>21</x:v>
      </x:c>
    </x:row>
    <x:row r="162">
      <x:c r="A162" t="str">
        <x:v>H81.12B</x:v>
      </x:c>
      <x:c r="B162" t="str">
        <x:v>Heladeras</x:v>
      </x:c>
      <x:c r="C162" s="8" t="str">
        <x:v>Heladeras LACAR 12v 24v</x:v>
      </x:c>
      <x:c r="D162" s="8" t="str">
        <x:v>Heladera LACAR C/Congelador 81L 12v 24v</x:v>
      </x:c>
      <x:c r="E162" s="8" t="str">
        <x:v>h81-12b.png</x:v>
      </x:c>
      <x:c r="F162" s="30"/>
      <x:c r="G162" s="34" t="n">
        <x:v>0</x:v>
      </x:c>
      <x:c r="H162" s="30"/>
      <x:c r="I162" s="32" t="str">
        <x:f>IF(H162&lt;&gt;"",H162,IF(F162="","",ROUND((F162*(1+Ajustes!$B$3/100)*(1+IFERROR(VLOOKUP(B162,Ajustes!$A$7:$B$24,2,FALSE),0)/100)*(1+G162/100))/Ajustes!$B$4,0)*Ajustes!$B$4))</x:f>
      </x:c>
      <x:c r="J162" t="n">
        <x:v>21</x:v>
      </x:c>
    </x:row>
    <x:row r="163">
      <x:c r="A163" t="str">
        <x:v>H81.12N</x:v>
      </x:c>
      <x:c r="B163" t="str">
        <x:v>Heladeras</x:v>
      </x:c>
      <x:c r="C163" s="8" t="str">
        <x:v>Heladeras LACAR 12v 24v</x:v>
      </x:c>
      <x:c r="D163" s="8" t="str">
        <x:v>Heladera LACAR C/Congelador 81L 12v 24v</x:v>
      </x:c>
      <x:c r="E163" s="8" t="str">
        <x:v>h81-12n.png</x:v>
      </x:c>
      <x:c r="F163" s="30"/>
      <x:c r="G163" s="34" t="n">
        <x:v>0</x:v>
      </x:c>
      <x:c r="H163" s="30"/>
      <x:c r="I163" s="32" t="str">
        <x:f>IF(H163&lt;&gt;"",H163,IF(F163="","",ROUND((F163*(1+Ajustes!$B$3/100)*(1+IFERROR(VLOOKUP(B163,Ajustes!$A$7:$B$24,2,FALSE),0)/100)*(1+G163/100))/Ajustes!$B$4,0)*Ajustes!$B$4))</x:f>
      </x:c>
      <x:c r="J163" t="n">
        <x:v>21</x:v>
      </x:c>
    </x:row>
    <x:row r="164">
      <x:c r="A164" t="str">
        <x:v>H110.12B</x:v>
      </x:c>
      <x:c r="B164" t="str">
        <x:v>Heladeras</x:v>
      </x:c>
      <x:c r="C164" s="8" t="str">
        <x:v>Heladeras LACAR 12v 24v</x:v>
      </x:c>
      <x:c r="D164" s="8" t="str">
        <x:v>Heladera LACAR C/Freezer 110L 12v 24v</x:v>
      </x:c>
      <x:c r="E164" s="8" t="str">
        <x:v>h110-12b.png</x:v>
      </x:c>
      <x:c r="F164" s="30"/>
      <x:c r="G164" s="34" t="n">
        <x:v>0</x:v>
      </x:c>
      <x:c r="H164" s="30"/>
      <x:c r="I164" s="32" t="str">
        <x:f>IF(H164&lt;&gt;"",H164,IF(F164="","",ROUND((F164*(1+Ajustes!$B$3/100)*(1+IFERROR(VLOOKUP(B164,Ajustes!$A$7:$B$24,2,FALSE),0)/100)*(1+G164/100))/Ajustes!$B$4,0)*Ajustes!$B$4))</x:f>
      </x:c>
      <x:c r="J164" t="n">
        <x:v>21</x:v>
      </x:c>
    </x:row>
    <x:row r="165">
      <x:c r="A165" t="str">
        <x:v>H110.12N</x:v>
      </x:c>
      <x:c r="B165" t="str">
        <x:v>Heladeras</x:v>
      </x:c>
      <x:c r="C165" s="8" t="str">
        <x:v>Heladeras LACAR 12v 24v</x:v>
      </x:c>
      <x:c r="D165" s="8" t="str">
        <x:v>Heladera LACAR C/Freezer 110L 12v 24v</x:v>
      </x:c>
      <x:c r="E165" s="8" t="str">
        <x:v>h110-12n.png</x:v>
      </x:c>
      <x:c r="F165" s="30"/>
      <x:c r="G165" s="34" t="n">
        <x:v>0</x:v>
      </x:c>
      <x:c r="H165" s="30"/>
      <x:c r="I165" s="32" t="str">
        <x:f>IF(H165&lt;&gt;"",H165,IF(F165="","",ROUND((F165*(1+Ajustes!$B$3/100)*(1+IFERROR(VLOOKUP(B165,Ajustes!$A$7:$B$24,2,FALSE),0)/100)*(1+G165/100))/Ajustes!$B$4,0)*Ajustes!$B$4))</x:f>
      </x:c>
      <x:c r="J165" t="n">
        <x:v>22</x:v>
      </x:c>
    </x:row>
    <x:row r="166">
      <x:c r="A166" t="str">
        <x:v>H230.12B</x:v>
      </x:c>
      <x:c r="B166" t="str">
        <x:v>Heladeras</x:v>
      </x:c>
      <x:c r="C166" s="8" t="str">
        <x:v>Heladeras LACAR 12v 24v</x:v>
      </x:c>
      <x:c r="D166" s="8" t="str">
        <x:v>Heladera LACAR C/Freezer 230L</x:v>
      </x:c>
      <x:c r="E166" s="8" t="str">
        <x:v>h230-12b.png</x:v>
      </x:c>
      <x:c r="F166" s="30"/>
      <x:c r="G166" s="34" t="n">
        <x:v>0</x:v>
      </x:c>
      <x:c r="H166" s="30"/>
      <x:c r="I166" s="32" t="str">
        <x:f>IF(H166&lt;&gt;"",H166,IF(F166="","",ROUND((F166*(1+Ajustes!$B$3/100)*(1+IFERROR(VLOOKUP(B166,Ajustes!$A$7:$B$24,2,FALSE),0)/100)*(1+G166/100))/Ajustes!$B$4,0)*Ajustes!$B$4))</x:f>
      </x:c>
      <x:c r="J166" t="n">
        <x:v>22</x:v>
      </x:c>
    </x:row>
    <x:row r="167">
      <x:c r="A167" t="str">
        <x:v>H230.12N</x:v>
      </x:c>
      <x:c r="B167" t="str">
        <x:v>Heladeras</x:v>
      </x:c>
      <x:c r="C167" s="8" t="str">
        <x:v>Heladeras LACAR 12v 24v</x:v>
      </x:c>
      <x:c r="D167" s="8" t="str">
        <x:v>Heladera LACAR C/Freezer 230L</x:v>
      </x:c>
      <x:c r="E167" s="8" t="str">
        <x:v>h230-12n.png</x:v>
      </x:c>
      <x:c r="F167" s="30"/>
      <x:c r="G167" s="34" t="n">
        <x:v>0</x:v>
      </x:c>
      <x:c r="H167" s="30"/>
      <x:c r="I167" s="32" t="str">
        <x:f>IF(H167&lt;&gt;"",H167,IF(F167="","",ROUND((F167*(1+Ajustes!$B$3/100)*(1+IFERROR(VLOOKUP(B167,Ajustes!$A$7:$B$24,2,FALSE),0)/100)*(1+G167/100))/Ajustes!$B$4,0)*Ajustes!$B$4))</x:f>
      </x:c>
      <x:c r="J167" t="n">
        <x:v>22</x:v>
      </x:c>
    </x:row>
    <x:row r="168">
      <x:c r="A168" t="str">
        <x:v>H290.12B</x:v>
      </x:c>
      <x:c r="B168" t="str">
        <x:v>Heladeras</x:v>
      </x:c>
      <x:c r="C168" s="8" t="str">
        <x:v>Heladeras LACAR 12v 24v</x:v>
      </x:c>
      <x:c r="D168" s="8" t="str">
        <x:v>Heladera LACAR C/Freezer 290L</x:v>
      </x:c>
      <x:c r="E168" s="8" t="str">
        <x:v>h290-12b.png</x:v>
      </x:c>
      <x:c r="F168" s="30"/>
      <x:c r="G168" s="34" t="n">
        <x:v>0</x:v>
      </x:c>
      <x:c r="H168" s="30"/>
      <x:c r="I168" s="32" t="str">
        <x:f>IF(H168&lt;&gt;"",H168,IF(F168="","",ROUND((F168*(1+Ajustes!$B$3/100)*(1+IFERROR(VLOOKUP(B168,Ajustes!$A$7:$B$24,2,FALSE),0)/100)*(1+G168/100))/Ajustes!$B$4,0)*Ajustes!$B$4))</x:f>
      </x:c>
      <x:c r="J168" t="n">
        <x:v>22</x:v>
      </x:c>
    </x:row>
    <x:row r="169">
      <x:c r="A169" t="str">
        <x:v>H290.12N</x:v>
      </x:c>
      <x:c r="B169" t="str">
        <x:v>Heladeras</x:v>
      </x:c>
      <x:c r="C169" s="8" t="str">
        <x:v>Heladeras LACAR 12v 24v</x:v>
      </x:c>
      <x:c r="D169" s="8" t="str">
        <x:v>Heladera LACAR C/Freezer 290L</x:v>
      </x:c>
      <x:c r="E169" s="8" t="str">
        <x:v>h290-12n.png</x:v>
      </x:c>
      <x:c r="F169" s="30"/>
      <x:c r="G169" s="34" t="n">
        <x:v>0</x:v>
      </x:c>
      <x:c r="H169" s="30"/>
      <x:c r="I169" s="32" t="str">
        <x:f>IF(H169&lt;&gt;"",H169,IF(F169="","",ROUND((F169*(1+Ajustes!$B$3/100)*(1+IFERROR(VLOOKUP(B169,Ajustes!$A$7:$B$24,2,FALSE),0)/100)*(1+G169/100))/Ajustes!$B$4,0)*Ajustes!$B$4))</x:f>
      </x:c>
      <x:c r="J169" t="n">
        <x:v>22</x:v>
      </x:c>
    </x:row>
    <x:row r="170">
      <x:c r="A170" t="str">
        <x:v>H50.12</x:v>
      </x:c>
      <x:c r="B170" t="str">
        <x:v>Heladeras</x:v>
      </x:c>
      <x:c r="C170" s="8" t="str">
        <x:v>Heladeras 12v 24v</x:v>
      </x:c>
      <x:c r="D170" s="8" t="str">
        <x:v>Heladera C/Congelador 50L</x:v>
      </x:c>
      <x:c r="E170" s="8" t="str">
        <x:v>h50-12.png</x:v>
      </x:c>
      <x:c r="F170" s="30"/>
      <x:c r="G170" s="34" t="n">
        <x:v>0</x:v>
      </x:c>
      <x:c r="H170" s="30"/>
      <x:c r="I170" s="32" t="str">
        <x:f>IF(H170&lt;&gt;"",H170,IF(F170="","",ROUND((F170*(1+Ajustes!$B$3/100)*(1+IFERROR(VLOOKUP(B170,Ajustes!$A$7:$B$24,2,FALSE),0)/100)*(1+G170/100))/Ajustes!$B$4,0)*Ajustes!$B$4))</x:f>
      </x:c>
      <x:c r="J170" t="n">
        <x:v>22</x:v>
      </x:c>
    </x:row>
    <x:row r="171">
      <x:c r="A171" t="str">
        <x:v>H90.12</x:v>
      </x:c>
      <x:c r="B171" t="str">
        <x:v>Heladeras</x:v>
      </x:c>
      <x:c r="C171" s="8" t="str">
        <x:v>Heladeras 12v 24v</x:v>
      </x:c>
      <x:c r="D171" s="8" t="str">
        <x:v>Heladera C/Congelador 90L</x:v>
      </x:c>
      <x:c r="E171" s="8" t="str">
        <x:v>h90-12.png</x:v>
      </x:c>
      <x:c r="F171" s="30"/>
      <x:c r="G171" s="34" t="n">
        <x:v>0</x:v>
      </x:c>
      <x:c r="H171" s="30"/>
      <x:c r="I171" s="32" t="str">
        <x:f>IF(H171&lt;&gt;"",H171,IF(F171="","",ROUND((F171*(1+Ajustes!$B$3/100)*(1+IFERROR(VLOOKUP(B171,Ajustes!$A$7:$B$24,2,FALSE),0)/100)*(1+G171/100))/Ajustes!$B$4,0)*Ajustes!$B$4))</x:f>
      </x:c>
      <x:c r="J171" t="n">
        <x:v>22</x:v>
      </x:c>
    </x:row>
    <x:row r="172">
      <x:c r="A172" t="str">
        <x:v>H90F.12</x:v>
      </x:c>
      <x:c r="B172" t="str">
        <x:v>Heladeras</x:v>
      </x:c>
      <x:c r="C172" s="8" t="str">
        <x:v>Heladeras 12v 24v</x:v>
      </x:c>
      <x:c r="D172" s="8" t="str">
        <x:v>Heladera C/Freezer 90L</x:v>
      </x:c>
      <x:c r="E172" s="8" t="str">
        <x:v>h90f-12.png</x:v>
      </x:c>
      <x:c r="F172" s="30"/>
      <x:c r="G172" s="34" t="n">
        <x:v>0</x:v>
      </x:c>
      <x:c r="H172" s="30"/>
      <x:c r="I172" s="32" t="str">
        <x:f>IF(H172&lt;&gt;"",H172,IF(F172="","",ROUND((F172*(1+Ajustes!$B$3/100)*(1+IFERROR(VLOOKUP(B172,Ajustes!$A$7:$B$24,2,FALSE),0)/100)*(1+G172/100))/Ajustes!$B$4,0)*Ajustes!$B$4))</x:f>
      </x:c>
      <x:c r="J172" t="n">
        <x:v>22</x:v>
      </x:c>
    </x:row>
    <x:row r="173">
      <x:c r="A173" t="str">
        <x:v>H105.12</x:v>
      </x:c>
      <x:c r="B173" t="str">
        <x:v>Heladeras</x:v>
      </x:c>
      <x:c r="C173" s="8" t="str">
        <x:v>Heladeras 12v 24v</x:v>
      </x:c>
      <x:c r="D173" s="8" t="str">
        <x:v>Heladera C/Freezer 105L</x:v>
      </x:c>
      <x:c r="E173" s="8" t="str">
        <x:v>h105-12.png</x:v>
      </x:c>
      <x:c r="F173" s="30"/>
      <x:c r="G173" s="34" t="n">
        <x:v>0</x:v>
      </x:c>
      <x:c r="H173" s="30"/>
      <x:c r="I173" s="32" t="str">
        <x:f>IF(H173&lt;&gt;"",H173,IF(F173="","",ROUND((F173*(1+Ajustes!$B$3/100)*(1+IFERROR(VLOOKUP(B173,Ajustes!$A$7:$B$24,2,FALSE),0)/100)*(1+G173/100))/Ajustes!$B$4,0)*Ajustes!$B$4))</x:f>
      </x:c>
      <x:c r="J173" t="n">
        <x:v>23</x:v>
      </x:c>
    </x:row>
    <x:row r="174">
      <x:c r="A174" t="str">
        <x:v>HP.27</x:v>
      </x:c>
      <x:c r="B174" t="str">
        <x:v>Heladeras</x:v>
      </x:c>
      <x:c r="C174" s="8" t="str">
        <x:v>Heladeras Portátiles 12v 24v</x:v>
      </x:c>
      <x:c r="D174" s="8" t="str">
        <x:v>Heladera Portatil ACTECMAX C/Freezer  27L</x:v>
      </x:c>
      <x:c r="E174" s="8" t="str">
        <x:v>hp-27.png</x:v>
      </x:c>
      <x:c r="F174" s="30"/>
      <x:c r="G174" s="34" t="n">
        <x:v>0</x:v>
      </x:c>
      <x:c r="H174" s="30"/>
      <x:c r="I174" s="32" t="str">
        <x:f>IF(H174&lt;&gt;"",H174,IF(F174="","",ROUND((F174*(1+Ajustes!$B$3/100)*(1+IFERROR(VLOOKUP(B174,Ajustes!$A$7:$B$24,2,FALSE),0)/100)*(1+G174/100))/Ajustes!$B$4,0)*Ajustes!$B$4))</x:f>
      </x:c>
      <x:c r="J174" t="n">
        <x:v>23</x:v>
      </x:c>
    </x:row>
    <x:row r="175">
      <x:c r="A175" t="str">
        <x:v>HP.35</x:v>
      </x:c>
      <x:c r="B175" t="str">
        <x:v>Heladeras</x:v>
      </x:c>
      <x:c r="C175" s="8" t="str">
        <x:v>Heladeras Portátiles 12v 24v</x:v>
      </x:c>
      <x:c r="D175" s="8" t="str">
        <x:v>Heladera Portatil ACTECMAX C/Freezer 35L</x:v>
      </x:c>
      <x:c r="E175" s="8" t="str">
        <x:v>hp-35.png</x:v>
      </x:c>
      <x:c r="F175" s="30"/>
      <x:c r="G175" s="34" t="n">
        <x:v>0</x:v>
      </x:c>
      <x:c r="H175" s="30"/>
      <x:c r="I175" s="32" t="str">
        <x:f>IF(H175&lt;&gt;"",H175,IF(F175="","",ROUND((F175*(1+Ajustes!$B$3/100)*(1+IFERROR(VLOOKUP(B175,Ajustes!$A$7:$B$24,2,FALSE),0)/100)*(1+G175/100))/Ajustes!$B$4,0)*Ajustes!$B$4))</x:f>
      </x:c>
      <x:c r="J175" t="n">
        <x:v>23</x:v>
      </x:c>
    </x:row>
    <x:row r="176">
      <x:c r="A176" t="str">
        <x:v>HP.45</x:v>
      </x:c>
      <x:c r="B176" t="str">
        <x:v>Heladeras</x:v>
      </x:c>
      <x:c r="C176" s="8" t="str">
        <x:v>Heladeras Portátiles 12v 24v</x:v>
      </x:c>
      <x:c r="D176" s="8" t="str">
        <x:v>Heladera Portatil ACTECMAX C/Freezer 45L</x:v>
      </x:c>
      <x:c r="E176" s="8" t="str">
        <x:v>hp-45.png</x:v>
      </x:c>
      <x:c r="F176" s="30"/>
      <x:c r="G176" s="34" t="n">
        <x:v>0</x:v>
      </x:c>
      <x:c r="H176" s="30"/>
      <x:c r="I176" s="32" t="str">
        <x:f>IF(H176&lt;&gt;"",H176,IF(F176="","",ROUND((F176*(1+Ajustes!$B$3/100)*(1+IFERROR(VLOOKUP(B176,Ajustes!$A$7:$B$24,2,FALSE),0)/100)*(1+G176/100))/Ajustes!$B$4,0)*Ajustes!$B$4))</x:f>
      </x:c>
      <x:c r="J176" t="n">
        <x:v>23</x:v>
      </x:c>
    </x:row>
    <x:row r="177">
      <x:c r="A177" t="str">
        <x:v>HP.50</x:v>
      </x:c>
      <x:c r="B177" t="str">
        <x:v>Heladeras</x:v>
      </x:c>
      <x:c r="C177" s="8" t="str">
        <x:v>Heladeras Portátiles 12v 24v</x:v>
      </x:c>
      <x:c r="D177" s="8" t="str">
        <x:v>Heladera Portatil ACTECMAX C/Freezer Tipo Carrito  50L</x:v>
      </x:c>
      <x:c r="E177" s="8" t="str">
        <x:v>hp-50.png</x:v>
      </x:c>
      <x:c r="F177" s="30"/>
      <x:c r="G177" s="34" t="n">
        <x:v>0</x:v>
      </x:c>
      <x:c r="H177" s="30"/>
      <x:c r="I177" s="32" t="str">
        <x:f>IF(H177&lt;&gt;"",H177,IF(F177="","",ROUND((F177*(1+Ajustes!$B$3/100)*(1+IFERROR(VLOOKUP(B177,Ajustes!$A$7:$B$24,2,FALSE),0)/100)*(1+G177/100))/Ajustes!$B$4,0)*Ajustes!$B$4))</x:f>
      </x:c>
      <x:c r="J177" t="n">
        <x:v>23</x:v>
      </x:c>
    </x:row>
    <x:row r="178">
      <x:c r="A178" t="str">
        <x:v>FH.12</x:v>
      </x:c>
      <x:c r="B178" t="str">
        <x:v>Heladeras</x:v>
      </x:c>
      <x:c r="C178" s="8" t="str">
        <x:v>Fabricadora de Hielo 12v 24v</x:v>
      </x:c>
      <x:c r="D178" s="8" t="str">
        <x:v>Fabricadora de Hielo Portatil 12v 24v - 9 Hielos por minuto</x:v>
      </x:c>
      <x:c r="E178" s="8" t="str">
        <x:v>fh-12.png</x:v>
      </x:c>
      <x:c r="F178" s="30"/>
      <x:c r="G178" s="34" t="n">
        <x:v>0</x:v>
      </x:c>
      <x:c r="H178" s="30"/>
      <x:c r="I178" s="32" t="str">
        <x:f>IF(H178&lt;&gt;"",H178,IF(F178="","",ROUND((F178*(1+Ajustes!$B$3/100)*(1+IFERROR(VLOOKUP(B178,Ajustes!$A$7:$B$24,2,FALSE),0)/100)*(1+G178/100))/Ajustes!$B$4,0)*Ajustes!$B$4))</x:f>
      </x:c>
      <x:c r="J178" t="n">
        <x:v>23</x:v>
      </x:c>
    </x:row>
    <x:row r="179">
      <x:c r="A179" t="str">
        <x:v>AA.220.D</x:v>
      </x:c>
      <x:c r="B179" t="str">
        <x:v>Climatización</x:v>
      </x:c>
      <x:c r="C179" s="8" t="str">
        <x:v>Aires Acondicionados 220v FRIO-CALOR - INVERTER</x:v>
      </x:c>
      <x:c r="D179" s="8" t="str">
        <x:v>Aire Acondicionado Frio-Calor P/Instalar en Escotilla DOMETIC FJX7 (Tactil)</x:v>
      </x:c>
      <x:c r="E179" s="8" t="str">
        <x:v>aa-220-d.png</x:v>
      </x:c>
      <x:c r="F179" s="30"/>
      <x:c r="G179" s="34" t="n">
        <x:v>0</x:v>
      </x:c>
      <x:c r="H179" s="30"/>
      <x:c r="I179" s="32" t="str">
        <x:f>IF(H179&lt;&gt;"",H179,IF(F179="","",ROUND((F179*(1+Ajustes!$B$3/100)*(1+IFERROR(VLOOKUP(B179,Ajustes!$A$7:$B$24,2,FALSE),0)/100)*(1+G179/100))/Ajustes!$B$4,0)*Ajustes!$B$4))</x:f>
      </x:c>
      <x:c r="J179" t="n">
        <x:v>23</x:v>
      </x:c>
    </x:row>
    <x:row r="180">
      <x:c r="A180" t="str">
        <x:v>AA.220.F2</x:v>
      </x:c>
      <x:c r="B180" t="str">
        <x:v>Climatización</x:v>
      </x:c>
      <x:c r="C180" s="8" t="str">
        <x:v>Aires Acondicionados 220v FRIO-CALOR - INVERTER</x:v>
      </x:c>
      <x:c r="D180" s="8" t="str">
        <x:v>Aire Acondicionado Frio-Calor P/Instalar en Escotilla FREUCAMP</x:v>
      </x:c>
      <x:c r="E180" s="8" t="str">
        <x:v>aa-220-f2.png</x:v>
      </x:c>
      <x:c r="F180" s="30"/>
      <x:c r="G180" s="34" t="n">
        <x:v>0</x:v>
      </x:c>
      <x:c r="H180" s="30"/>
      <x:c r="I180" s="32" t="str">
        <x:f>IF(H180&lt;&gt;"",H180,IF(F180="","",ROUND((F180*(1+Ajustes!$B$3/100)*(1+IFERROR(VLOOKUP(B180,Ajustes!$A$7:$B$24,2,FALSE),0)/100)*(1+G180/100))/Ajustes!$B$4,0)*Ajustes!$B$4))</x:f>
      </x:c>
      <x:c r="J180" t="n">
        <x:v>24</x:v>
      </x:c>
    </x:row>
    <x:row r="181">
      <x:c r="A181" t="str">
        <x:v>AA.220.F1</x:v>
      </x:c>
      <x:c r="B181" t="str">
        <x:v>Climatización</x:v>
      </x:c>
      <x:c r="C181" s="8" t="str">
        <x:v>Aires Acondicionados 220v FRIO-CALOR - INVERTER</x:v>
      </x:c>
      <x:c r="D181" s="8" t="str">
        <x:v>Aire Acondicionado Frio-Calor P/Instalar en Escotilla FREUCAMP</x:v>
      </x:c>
      <x:c r="E181" s="8" t="str">
        <x:v>aa-220-f1.png</x:v>
      </x:c>
      <x:c r="F181" s="30"/>
      <x:c r="G181" s="34" t="n">
        <x:v>0</x:v>
      </x:c>
      <x:c r="H181" s="30"/>
      <x:c r="I181" s="32" t="str">
        <x:f>IF(H181&lt;&gt;"",H181,IF(F181="","",ROUND((F181*(1+Ajustes!$B$3/100)*(1+IFERROR(VLOOKUP(B181,Ajustes!$A$7:$B$24,2,FALSE),0)/100)*(1+G181/100))/Ajustes!$B$4,0)*Ajustes!$B$4))</x:f>
      </x:c>
      <x:c r="J181" t="n">
        <x:v>24</x:v>
      </x:c>
    </x:row>
    <x:row r="182">
      <x:c r="A182" t="str">
        <x:v>AA.12.H</x:v>
      </x:c>
      <x:c r="B182" t="str">
        <x:v>Climatización</x:v>
      </x:c>
      <x:c r="C182" s="8" t="str">
        <x:v>Aires Acondicionados 24v</x:v>
      </x:c>
      <x:c r="D182" s="8" t="str">
        <x:v>Aire Acondicionado 12v P/Instalar en Escotilla HDK</x:v>
      </x:c>
      <x:c r="E182" s="8" t="str">
        <x:v>aa-12-h.png</x:v>
      </x:c>
      <x:c r="F182" s="30"/>
      <x:c r="G182" s="34" t="n">
        <x:v>0</x:v>
      </x:c>
      <x:c r="H182" s="30"/>
      <x:c r="I182" s="32" t="str">
        <x:f>IF(H182&lt;&gt;"",H182,IF(F182="","",ROUND((F182*(1+Ajustes!$B$3/100)*(1+IFERROR(VLOOKUP(B182,Ajustes!$A$7:$B$24,2,FALSE),0)/100)*(1+G182/100))/Ajustes!$B$4,0)*Ajustes!$B$4))</x:f>
      </x:c>
      <x:c r="J182" t="n">
        <x:v>24</x:v>
      </x:c>
    </x:row>
    <x:row r="183">
      <x:c r="A183" t="str">
        <x:v>AA.12.A</x:v>
      </x:c>
      <x:c r="B183" t="str">
        <x:v>Climatización</x:v>
      </x:c>
      <x:c r="C183" s="8" t="str">
        <x:v>Aires Acondicionados 24v</x:v>
      </x:c>
      <x:c r="D183" s="8" t="str">
        <x:v>Aire Acondicionado AGRO 12v P/Instalar en Escotilla ACTECMAX</x:v>
      </x:c>
      <x:c r="E183" s="8" t="str">
        <x:v>aa-12-a.png</x:v>
      </x:c>
      <x:c r="F183" s="30"/>
      <x:c r="G183" s="34" t="n">
        <x:v>0</x:v>
      </x:c>
      <x:c r="H183" s="30"/>
      <x:c r="I183" s="32" t="str">
        <x:f>IF(H183&lt;&gt;"",H183,IF(F183="","",ROUND((F183*(1+Ajustes!$B$3/100)*(1+IFERROR(VLOOKUP(B183,Ajustes!$A$7:$B$24,2,FALSE),0)/100)*(1+G183/100))/Ajustes!$B$4,0)*Ajustes!$B$4))</x:f>
      </x:c>
      <x:c r="J183" t="n">
        <x:v>24</x:v>
      </x:c>
    </x:row>
    <x:row r="184">
      <x:c r="A184" t="str">
        <x:v>AA.12</x:v>
      </x:c>
      <x:c r="B184" t="str">
        <x:v>Climatización</x:v>
      </x:c>
      <x:c r="C184" s="8" t="str">
        <x:v>Aires Acondicionados 24v</x:v>
      </x:c>
      <x:c r="D184" s="8" t="str">
        <x:v>Aire Acondicionado 12v P/Instalar en Escotilla  ACTECMAX</x:v>
      </x:c>
      <x:c r="E184" s="8" t="str">
        <x:v>aa-12.png</x:v>
      </x:c>
      <x:c r="F184" s="30"/>
      <x:c r="G184" s="34" t="n">
        <x:v>0</x:v>
      </x:c>
      <x:c r="H184" s="30"/>
      <x:c r="I184" s="32" t="str">
        <x:f>IF(H184&lt;&gt;"",H184,IF(F184="","",ROUND((F184*(1+Ajustes!$B$3/100)*(1+IFERROR(VLOOKUP(B184,Ajustes!$A$7:$B$24,2,FALSE),0)/100)*(1+G184/100))/Ajustes!$B$4,0)*Ajustes!$B$4))</x:f>
      </x:c>
      <x:c r="J184" t="n">
        <x:v>24</x:v>
      </x:c>
    </x:row>
    <x:row r="185">
      <x:c r="A185" t="str">
        <x:v>AAL.12</x:v>
      </x:c>
      <x:c r="B185" t="str">
        <x:v>Climatización</x:v>
      </x:c>
      <x:c r="C185" s="8" t="str">
        <x:v>Aires Acondicionados 24v</x:v>
      </x:c>
      <x:c r="D185" s="8" t="str">
        <x:v>Aire Acondicionado 12v P/Instalar en Lateral ACTECMAX</x:v>
      </x:c>
      <x:c r="E185" s="8" t="str">
        <x:v>aal-12.png</x:v>
      </x:c>
      <x:c r="F185" s="30"/>
      <x:c r="G185" s="34" t="n">
        <x:v>0</x:v>
      </x:c>
      <x:c r="H185" s="30"/>
      <x:c r="I185" s="32" t="str">
        <x:f>IF(H185&lt;&gt;"",H185,IF(F185="","",ROUND((F185*(1+Ajustes!$B$3/100)*(1+IFERROR(VLOOKUP(B185,Ajustes!$A$7:$B$24,2,FALSE),0)/100)*(1+G185/100))/Ajustes!$B$4,0)*Ajustes!$B$4))</x:f>
      </x:c>
      <x:c r="J185" t="n">
        <x:v>24</x:v>
      </x:c>
    </x:row>
    <x:row r="186">
      <x:c r="A186" t="str">
        <x:v>AA.24.H</x:v>
      </x:c>
      <x:c r="B186" t="str">
        <x:v>Climatización</x:v>
      </x:c>
      <x:c r="C186" s="8" t="str">
        <x:v>Aires Acondicionados 24v</x:v>
      </x:c>
      <x:c r="D186" s="8" t="str">
        <x:v>Aire Acondicionado 24v P/Instalar en Escotilla HDK</x:v>
      </x:c>
      <x:c r="E186" s="8" t="str">
        <x:v>aa-24-h.png</x:v>
      </x:c>
      <x:c r="F186" s="30"/>
      <x:c r="G186" s="34" t="n">
        <x:v>0</x:v>
      </x:c>
      <x:c r="H186" s="30"/>
      <x:c r="I186" s="32" t="str">
        <x:f>IF(H186&lt;&gt;"",H186,IF(F186="","",ROUND((F186*(1+Ajustes!$B$3/100)*(1+IFERROR(VLOOKUP(B186,Ajustes!$A$7:$B$24,2,FALSE),0)/100)*(1+G186/100))/Ajustes!$B$4,0)*Ajustes!$B$4))</x:f>
      </x:c>
      <x:c r="J186" t="n">
        <x:v>24</x:v>
      </x:c>
    </x:row>
    <x:row r="187">
      <x:c r="A187" t="str">
        <x:v>AA.24.HM</x:v>
      </x:c>
      <x:c r="B187" t="str">
        <x:v>Climatización</x:v>
      </x:c>
      <x:c r="C187" s="8" t="str">
        <x:v>Aires Acondicionados 24v</x:v>
      </x:c>
      <x:c r="D187" s="8" t="str">
        <x:v>Aire Acondicionado 24v P/Instalar en Escotilla HDK</x:v>
      </x:c>
      <x:c r="E187" s="8" t="str">
        <x:v>aa-24-hm.png</x:v>
      </x:c>
      <x:c r="F187" s="30"/>
      <x:c r="G187" s="34" t="n">
        <x:v>0</x:v>
      </x:c>
      <x:c r="H187" s="30"/>
      <x:c r="I187" s="32" t="str">
        <x:f>IF(H187&lt;&gt;"",H187,IF(F187="","",ROUND((F187*(1+Ajustes!$B$3/100)*(1+IFERROR(VLOOKUP(B187,Ajustes!$A$7:$B$24,2,FALSE),0)/100)*(1+G187/100))/Ajustes!$B$4,0)*Ajustes!$B$4))</x:f>
      </x:c>
      <x:c r="J187" t="n">
        <x:v>25</x:v>
      </x:c>
    </x:row>
    <x:row r="188">
      <x:c r="A188" t="str">
        <x:v>AA.24</x:v>
      </x:c>
      <x:c r="B188" t="str">
        <x:v>Climatización</x:v>
      </x:c>
      <x:c r="C188" s="8" t="str">
        <x:v>Aires Acondicionados 24v</x:v>
      </x:c>
      <x:c r="D188" s="8" t="str">
        <x:v>Aire Acondicionado 24v P/Instalar en Escotilla  ACTECMAX</x:v>
      </x:c>
      <x:c r="E188" s="8" t="str">
        <x:v>aa-24.png</x:v>
      </x:c>
      <x:c r="F188" s="30"/>
      <x:c r="G188" s="34" t="n">
        <x:v>0</x:v>
      </x:c>
      <x:c r="H188" s="30"/>
      <x:c r="I188" s="32" t="str">
        <x:f>IF(H188&lt;&gt;"",H188,IF(F188="","",ROUND((F188*(1+Ajustes!$B$3/100)*(1+IFERROR(VLOOKUP(B188,Ajustes!$A$7:$B$24,2,FALSE),0)/100)*(1+G188/100))/Ajustes!$B$4,0)*Ajustes!$B$4))</x:f>
      </x:c>
      <x:c r="J188" t="n">
        <x:v>25</x:v>
      </x:c>
    </x:row>
    <x:row r="189">
      <x:c r="A189" t="str">
        <x:v>AAL.24</x:v>
      </x:c>
      <x:c r="B189" t="str">
        <x:v>Climatización</x:v>
      </x:c>
      <x:c r="C189" s="8" t="str">
        <x:v>Aires Acondicionados 24v</x:v>
      </x:c>
      <x:c r="D189" s="8" t="str">
        <x:v>Aire Acondicionado 24v P/Instalar en Lateral ACTECMAX</x:v>
      </x:c>
      <x:c r="E189" s="8" t="str">
        <x:v>aal-24.png</x:v>
      </x:c>
      <x:c r="F189" s="30"/>
      <x:c r="G189" s="34" t="n">
        <x:v>0</x:v>
      </x:c>
      <x:c r="H189" s="30"/>
      <x:c r="I189" s="32" t="str">
        <x:f>IF(H189&lt;&gt;"",H189,IF(F189="","",ROUND((F189*(1+Ajustes!$B$3/100)*(1+IFERROR(VLOOKUP(B189,Ajustes!$A$7:$B$24,2,FALSE),0)/100)*(1+G189/100))/Ajustes!$B$4,0)*Ajustes!$B$4))</x:f>
      </x:c>
      <x:c r="J189" t="n">
        <x:v>25</x:v>
      </x:c>
    </x:row>
    <x:row r="190">
      <x:c r="A190" t="str">
        <x:v>CN.C.12</x:v>
      </x:c>
      <x:c r="B190" t="str">
        <x:v>Climatización</x:v>
      </x:c>
      <x:c r="C190" s="8" t="str">
        <x:v>Climatizadores 12v</x:v>
      </x:c>
      <x:c r="D190" s="8" t="str">
        <x:v>Climatizador NEIL CAMPER / SLIM FULL</x:v>
      </x:c>
      <x:c r="E190" s="8" t="str">
        <x:v>cn-c-12.png</x:v>
      </x:c>
      <x:c r="F190" s="30"/>
      <x:c r="G190" s="34" t="n">
        <x:v>0</x:v>
      </x:c>
      <x:c r="H190" s="30"/>
      <x:c r="I190" s="32" t="str">
        <x:f>IF(H190&lt;&gt;"",H190,IF(F190="","",ROUND((F190*(1+Ajustes!$B$3/100)*(1+IFERROR(VLOOKUP(B190,Ajustes!$A$7:$B$24,2,FALSE),0)/100)*(1+G190/100))/Ajustes!$B$4,0)*Ajustes!$B$4))</x:f>
      </x:c>
      <x:c r="J190" t="n">
        <x:v>25</x:v>
      </x:c>
    </x:row>
    <x:row r="191">
      <x:c r="A191" t="str">
        <x:v>CN.P.12</x:v>
      </x:c>
      <x:c r="B191" t="str">
        <x:v>Climatización</x:v>
      </x:c>
      <x:c r="C191" s="8" t="str">
        <x:v>Climatizadores 12v</x:v>
      </x:c>
      <x:c r="D191" s="8" t="str">
        <x:v>Climatizador NEIL PATAGONIA</x:v>
      </x:c>
      <x:c r="E191" s="8" t="str">
        <x:v>cn-p-12.png</x:v>
      </x:c>
      <x:c r="F191" s="30"/>
      <x:c r="G191" s="34" t="n">
        <x:v>0</x:v>
      </x:c>
      <x:c r="H191" s="30"/>
      <x:c r="I191" s="32" t="str">
        <x:f>IF(H191&lt;&gt;"",H191,IF(F191="","",ROUND((F191*(1+Ajustes!$B$3/100)*(1+IFERROR(VLOOKUP(B191,Ajustes!$A$7:$B$24,2,FALSE),0)/100)*(1+G191/100))/Ajustes!$B$4,0)*Ajustes!$B$4))</x:f>
      </x:c>
      <x:c r="J191" t="n">
        <x:v>25</x:v>
      </x:c>
    </x:row>
    <x:row r="192">
      <x:c r="A192" t="str">
        <x:v>CN.C.24</x:v>
      </x:c>
      <x:c r="B192" t="str">
        <x:v>Climatización</x:v>
      </x:c>
      <x:c r="C192" s="8" t="str">
        <x:v>Climatizadores 24v</x:v>
      </x:c>
      <x:c r="D192" s="8" t="str">
        <x:v>Climatizador NEIL CAMPER / SLIM FULL</x:v>
      </x:c>
      <x:c r="E192" s="8" t="str">
        <x:v>cn-c-24.png</x:v>
      </x:c>
      <x:c r="F192" s="30"/>
      <x:c r="G192" s="34" t="n">
        <x:v>0</x:v>
      </x:c>
      <x:c r="H192" s="30"/>
      <x:c r="I192" s="32" t="str">
        <x:f>IF(H192&lt;&gt;"",H192,IF(F192="","",ROUND((F192*(1+Ajustes!$B$3/100)*(1+IFERROR(VLOOKUP(B192,Ajustes!$A$7:$B$24,2,FALSE),0)/100)*(1+G192/100))/Ajustes!$B$4,0)*Ajustes!$B$4))</x:f>
      </x:c>
      <x:c r="J192" t="n">
        <x:v>25</x:v>
      </x:c>
    </x:row>
    <x:row r="193">
      <x:c r="A193" t="str">
        <x:v>CN.P.24</x:v>
      </x:c>
      <x:c r="B193" t="str">
        <x:v>Climatización</x:v>
      </x:c>
      <x:c r="C193" s="8" t="str">
        <x:v>Climatizadores 24v</x:v>
      </x:c>
      <x:c r="D193" s="8" t="str">
        <x:v>Climatizador NEIL PATAGONIA</x:v>
      </x:c>
      <x:c r="E193" s="8" t="str">
        <x:v>cn-p-24.png</x:v>
      </x:c>
      <x:c r="F193" s="30"/>
      <x:c r="G193" s="34" t="n">
        <x:v>0</x:v>
      </x:c>
      <x:c r="H193" s="30"/>
      <x:c r="I193" s="32" t="str">
        <x:f>IF(H193&lt;&gt;"",H193,IF(F193="","",ROUND((F193*(1+Ajustes!$B$3/100)*(1+IFERROR(VLOOKUP(B193,Ajustes!$A$7:$B$24,2,FALSE),0)/100)*(1+G193/100))/Ajustes!$B$4,0)*Ajustes!$B$4))</x:f>
      </x:c>
      <x:c r="J193" t="n">
        <x:v>25</x:v>
      </x:c>
    </x:row>
    <x:row r="194">
      <x:c r="A194" t="str">
        <x:v>RCN.TGO</x:v>
      </x:c>
      <x:c r="B194" t="str">
        <x:v>Climatización</x:v>
      </x:c>
      <x:c r="C194" s="8" t="str">
        <x:v>Repuestos Climatizadores NEIL</x:v>
      </x:c>
      <x:c r="D194" s="8" t="str">
        <x:v>Carcasa Interior P/Climatizador - GRIS OSCURO</x:v>
      </x:c>
      <x:c r="E194" s="8" t="str">
        <x:v>rcn-tgo.png</x:v>
      </x:c>
      <x:c r="F194" s="30"/>
      <x:c r="G194" s="34" t="n">
        <x:v>0</x:v>
      </x:c>
      <x:c r="H194" s="30"/>
      <x:c r="I194" s="32" t="str">
        <x:f>IF(H194&lt;&gt;"",H194,IF(F194="","",ROUND((F194*(1+Ajustes!$B$3/100)*(1+IFERROR(VLOOKUP(B194,Ajustes!$A$7:$B$24,2,FALSE),0)/100)*(1+G194/100))/Ajustes!$B$4,0)*Ajustes!$B$4))</x:f>
      </x:c>
      <x:c r="J194" t="n">
        <x:v>26</x:v>
      </x:c>
    </x:row>
    <x:row r="195">
      <x:c r="A195" t="str">
        <x:v>RCN.TGC</x:v>
      </x:c>
      <x:c r="B195" t="str">
        <x:v>Climatización</x:v>
      </x:c>
      <x:c r="C195" s="8" t="str">
        <x:v>Repuestos Climatizadores NEIL</x:v>
      </x:c>
      <x:c r="D195" s="8" t="str">
        <x:v>Carcasa Interior P/Climatizador - GRIS CLARO</x:v>
      </x:c>
      <x:c r="E195" s="8" t="str">
        <x:v>rcn-tgc.png</x:v>
      </x:c>
      <x:c r="F195" s="30"/>
      <x:c r="G195" s="34" t="n">
        <x:v>0</x:v>
      </x:c>
      <x:c r="H195" s="30"/>
      <x:c r="I195" s="32" t="str">
        <x:f>IF(H195&lt;&gt;"",H195,IF(F195="","",ROUND((F195*(1+Ajustes!$B$3/100)*(1+IFERROR(VLOOKUP(B195,Ajustes!$A$7:$B$24,2,FALSE),0)/100)*(1+G195/100))/Ajustes!$B$4,0)*Ajustes!$B$4))</x:f>
      </x:c>
      <x:c r="J195" t="n">
        <x:v>26</x:v>
      </x:c>
    </x:row>
    <x:row r="196">
      <x:c r="A196" t="str">
        <x:v>RCN.TB</x:v>
      </x:c>
      <x:c r="B196" t="str">
        <x:v>Climatización</x:v>
      </x:c>
      <x:c r="C196" s="8" t="str">
        <x:v>Repuestos Climatizadores NEIL</x:v>
      </x:c>
      <x:c r="D196" s="8" t="str">
        <x:v>Carcasa Interior P/Climatizador - BEIGE</x:v>
      </x:c>
      <x:c r="E196" s="8" t="str">
        <x:v>rcn-tb.png</x:v>
      </x:c>
      <x:c r="F196" s="30"/>
      <x:c r="G196" s="34" t="n">
        <x:v>0</x:v>
      </x:c>
      <x:c r="H196" s="30"/>
      <x:c r="I196" s="32" t="str">
        <x:f>IF(H196&lt;&gt;"",H196,IF(F196="","",ROUND((F196*(1+Ajustes!$B$3/100)*(1+IFERROR(VLOOKUP(B196,Ajustes!$A$7:$B$24,2,FALSE),0)/100)*(1+G196/100))/Ajustes!$B$4,0)*Ajustes!$B$4))</x:f>
      </x:c>
      <x:c r="J196" t="n">
        <x:v>26</x:v>
      </x:c>
    </x:row>
    <x:row r="197">
      <x:c r="A197" t="str">
        <x:v>CD.812.CP</x:v>
      </x:c>
      <x:c r="B197" t="str">
        <x:v>Calefacción</x:v>
      </x:c>
      <x:c r="C197" s="8" t="str">
        <x:v>Calderas Diesel 12v</x:v>
      </x:c>
      <x:c r="D197" s="8" t="str">
        <x:v>Calefactor Diesel 8000w 12v WINFULL C/Termostato + Control Remoto</x:v>
      </x:c>
      <x:c r="E197" s="8" t="str">
        <x:v>cd-812-cp.png</x:v>
      </x:c>
      <x:c r="F197" s="30"/>
      <x:c r="G197" s="34" t="n">
        <x:v>0</x:v>
      </x:c>
      <x:c r="H197" s="30"/>
      <x:c r="I197" s="32" t="str">
        <x:f>IF(H197&lt;&gt;"",H197,IF(F197="","",ROUND((F197*(1+Ajustes!$B$3/100)*(1+IFERROR(VLOOKUP(B197,Ajustes!$A$7:$B$24,2,FALSE),0)/100)*(1+G197/100))/Ajustes!$B$4,0)*Ajustes!$B$4))</x:f>
      </x:c>
      <x:c r="J197" t="n">
        <x:v>26</x:v>
      </x:c>
    </x:row>
    <x:row r="198">
      <x:c r="A198" t="str">
        <x:v>CD.512.CA</x:v>
      </x:c>
      <x:c r="B198" t="str">
        <x:v>Calefacción</x:v>
      </x:c>
      <x:c r="C198" s="8" t="str">
        <x:v>Calderas Diesel 12v</x:v>
      </x:c>
      <x:c r="D198" s="8" t="str">
        <x:v>Calefactor Diesel 5000w 12v ACTECMAX C/Termostato + Control Remoto</x:v>
      </x:c>
      <x:c r="E198" s="8" t="str">
        <x:v>cd-512-ca.png</x:v>
      </x:c>
      <x:c r="F198" s="30"/>
      <x:c r="G198" s="34" t="n">
        <x:v>0</x:v>
      </x:c>
      <x:c r="H198" s="30"/>
      <x:c r="I198" s="32" t="str">
        <x:f>IF(H198&lt;&gt;"",H198,IF(F198="","",ROUND((F198*(1+Ajustes!$B$3/100)*(1+IFERROR(VLOOKUP(B198,Ajustes!$A$7:$B$24,2,FALSE),0)/100)*(1+G198/100))/Ajustes!$B$4,0)*Ajustes!$B$4))</x:f>
      </x:c>
      <x:c r="J198" t="n">
        <x:v>26</x:v>
      </x:c>
    </x:row>
    <x:row r="199">
      <x:c r="A199" t="str">
        <x:v>CD.512.CP</x:v>
      </x:c>
      <x:c r="B199" t="str">
        <x:v>Calefacción</x:v>
      </x:c>
      <x:c r="C199" s="8" t="str">
        <x:v>Calderas Diesel 12v</x:v>
      </x:c>
      <x:c r="D199" s="8" t="str">
        <x:v>Calefactor Diesel 5000w 12v WINFULL C/Termostato + Control Remoto</x:v>
      </x:c>
      <x:c r="E199" s="8" t="str">
        <x:v>cd-512-cp.png</x:v>
      </x:c>
      <x:c r="F199" s="30"/>
      <x:c r="G199" s="34" t="n">
        <x:v>0</x:v>
      </x:c>
      <x:c r="H199" s="30"/>
      <x:c r="I199" s="32" t="str">
        <x:f>IF(H199&lt;&gt;"",H199,IF(F199="","",ROUND((F199*(1+Ajustes!$B$3/100)*(1+IFERROR(VLOOKUP(B199,Ajustes!$A$7:$B$24,2,FALSE),0)/100)*(1+G199/100))/Ajustes!$B$4,0)*Ajustes!$B$4))</x:f>
      </x:c>
      <x:c r="J199" t="n">
        <x:v>26</x:v>
      </x:c>
    </x:row>
    <x:row r="200">
      <x:c r="A200" t="str">
        <x:v>CD.212.CP</x:v>
      </x:c>
      <x:c r="B200" t="str">
        <x:v>Calefacción</x:v>
      </x:c>
      <x:c r="C200" s="8" t="str">
        <x:v>Calderas Diesel 12v</x:v>
      </x:c>
      <x:c r="D200" s="8" t="str">
        <x:v>Calefactor Diesel 2000w 12v WINFULL C/Termostato + Control Remoto</x:v>
      </x:c>
      <x:c r="E200" s="8" t="str">
        <x:v>cd-212-cp.png</x:v>
      </x:c>
      <x:c r="F200" s="30"/>
      <x:c r="G200" s="34" t="n">
        <x:v>0</x:v>
      </x:c>
      <x:c r="H200" s="30"/>
      <x:c r="I200" s="32" t="str">
        <x:f>IF(H200&lt;&gt;"",H200,IF(F200="","",ROUND((F200*(1+Ajustes!$B$3/100)*(1+IFERROR(VLOOKUP(B200,Ajustes!$A$7:$B$24,2,FALSE),0)/100)*(1+G200/100))/Ajustes!$B$4,0)*Ajustes!$B$4))</x:f>
      </x:c>
      <x:c r="J200" t="n">
        <x:v>26</x:v>
      </x:c>
    </x:row>
    <x:row r="201">
      <x:c r="A201" t="str">
        <x:v>CD.212.CPT</x:v>
      </x:c>
      <x:c r="B201" t="str">
        <x:v>Calefacción</x:v>
      </x:c>
      <x:c r="C201" s="8" t="str">
        <x:v>Calderas Diesel 12v</x:v>
      </x:c>
      <x:c r="D201" s="8" t="str">
        <x:v>Calefactor Diesel 2000w 12v TULK C/Termostato + Control Remoto</x:v>
      </x:c>
      <x:c r="E201" s="8" t="str">
        <x:v>cd-212-cpt.png</x:v>
      </x:c>
      <x:c r="F201" s="30"/>
      <x:c r="G201" s="34" t="n">
        <x:v>0</x:v>
      </x:c>
      <x:c r="H201" s="30"/>
      <x:c r="I201" s="32" t="str">
        <x:f>IF(H201&lt;&gt;"",H201,IF(F201="","",ROUND((F201*(1+Ajustes!$B$3/100)*(1+IFERROR(VLOOKUP(B201,Ajustes!$A$7:$B$24,2,FALSE),0)/100)*(1+G201/100))/Ajustes!$B$4,0)*Ajustes!$B$4))</x:f>
      </x:c>
      <x:c r="J201" t="n">
        <x:v>26</x:v>
      </x:c>
    </x:row>
    <x:row r="202">
      <x:c r="A202" t="str">
        <x:v>CD.824.P</x:v>
      </x:c>
      <x:c r="B202" t="str">
        <x:v>Calefacción</x:v>
      </x:c>
      <x:c r="C202" s="8" t="str">
        <x:v>Calderas Diesel 24v</x:v>
      </x:c>
      <x:c r="D202" s="8" t="str">
        <x:v>Calefactor Diesel 8000w 24v WINFULL C/Termostato + Control Remoto</x:v>
      </x:c>
      <x:c r="E202" s="8" t="str">
        <x:v>cd-824-p.png</x:v>
      </x:c>
      <x:c r="F202" s="30"/>
      <x:c r="G202" s="34" t="n">
        <x:v>0</x:v>
      </x:c>
      <x:c r="H202" s="30"/>
      <x:c r="I202" s="32" t="str">
        <x:f>IF(H202&lt;&gt;"",H202,IF(F202="","",ROUND((F202*(1+Ajustes!$B$3/100)*(1+IFERROR(VLOOKUP(B202,Ajustes!$A$7:$B$24,2,FALSE),0)/100)*(1+G202/100))/Ajustes!$B$4,0)*Ajustes!$B$4))</x:f>
      </x:c>
      <x:c r="J202" t="n">
        <x:v>27</x:v>
      </x:c>
    </x:row>
    <x:row r="203">
      <x:c r="A203" t="str">
        <x:v>CD.524.CA</x:v>
      </x:c>
      <x:c r="B203" t="str">
        <x:v>Calefacción</x:v>
      </x:c>
      <x:c r="C203" s="8" t="str">
        <x:v>Calderas Diesel 24v</x:v>
      </x:c>
      <x:c r="D203" s="8" t="str">
        <x:v>Calefactor Diesel 5000w 24v ACTECMAX C/Termostato + Control Remoto</x:v>
      </x:c>
      <x:c r="E203" s="8" t="str">
        <x:v>cd-524-ca.png</x:v>
      </x:c>
      <x:c r="F203" s="30"/>
      <x:c r="G203" s="34" t="n">
        <x:v>0</x:v>
      </x:c>
      <x:c r="H203" s="30"/>
      <x:c r="I203" s="32" t="str">
        <x:f>IF(H203&lt;&gt;"",H203,IF(F203="","",ROUND((F203*(1+Ajustes!$B$3/100)*(1+IFERROR(VLOOKUP(B203,Ajustes!$A$7:$B$24,2,FALSE),0)/100)*(1+G203/100))/Ajustes!$B$4,0)*Ajustes!$B$4))</x:f>
      </x:c>
      <x:c r="J203" t="n">
        <x:v>27</x:v>
      </x:c>
    </x:row>
    <x:row r="204">
      <x:c r="A204" t="str">
        <x:v>CD.524.CP</x:v>
      </x:c>
      <x:c r="B204" t="str">
        <x:v>Calefacción</x:v>
      </x:c>
      <x:c r="C204" s="8" t="str">
        <x:v>Calderas Diesel 24v</x:v>
      </x:c>
      <x:c r="D204" s="8" t="str">
        <x:v>Calefactor Diesel 5000w 24v WINFULL C/Termostato + Control Remoto</x:v>
      </x:c>
      <x:c r="E204" s="8" t="str">
        <x:v>cd-524-cp.png</x:v>
      </x:c>
      <x:c r="F204" s="30"/>
      <x:c r="G204" s="34" t="n">
        <x:v>0</x:v>
      </x:c>
      <x:c r="H204" s="30"/>
      <x:c r="I204" s="32" t="str">
        <x:f>IF(H204&lt;&gt;"",H204,IF(F204="","",ROUND((F204*(1+Ajustes!$B$3/100)*(1+IFERROR(VLOOKUP(B204,Ajustes!$A$7:$B$24,2,FALSE),0)/100)*(1+G204/100))/Ajustes!$B$4,0)*Ajustes!$B$4))</x:f>
      </x:c>
      <x:c r="J204" t="n">
        <x:v>27</x:v>
      </x:c>
    </x:row>
    <x:row r="205">
      <x:c r="A205" t="str">
        <x:v>CD.824.CP</x:v>
      </x:c>
      <x:c r="B205" t="str">
        <x:v>Calefacción</x:v>
      </x:c>
      <x:c r="C205" s="8" t="str">
        <x:v>Calderas Diesel 24v</x:v>
      </x:c>
      <x:c r="D205" s="8" t="str">
        <x:v>Calefactor Diesel 8000w 24v WINFULL C/Termostato + Control Remoto</x:v>
      </x:c>
      <x:c r="E205" s="8" t="str">
        <x:v>cd-824-cp.png</x:v>
      </x:c>
      <x:c r="F205" s="30"/>
      <x:c r="G205" s="34" t="n">
        <x:v>0</x:v>
      </x:c>
      <x:c r="H205" s="30"/>
      <x:c r="I205" s="32" t="str">
        <x:f>IF(H205&lt;&gt;"",H205,IF(F205="","",ROUND((F205*(1+Ajustes!$B$3/100)*(1+IFERROR(VLOOKUP(B205,Ajustes!$A$7:$B$24,2,FALSE),0)/100)*(1+G205/100))/Ajustes!$B$4,0)*Ajustes!$B$4))</x:f>
      </x:c>
      <x:c r="J205" t="n">
        <x:v>27</x:v>
      </x:c>
    </x:row>
    <x:row r="206">
      <x:c r="A206" t="str">
        <x:v>RDA.UT</x:v>
      </x:c>
      <x:c r="B206" t="str">
        <x:v>Calefacción</x:v>
      </x:c>
      <x:c r="C206" s="8" t="str">
        <x:v>Repuestos Calefactor Diesel ACTECMAX</x:v>
      </x:c>
      <x:c r="D206" s="8" t="str">
        <x:v>Union T / 2 Salidas</x:v>
      </x:c>
      <x:c r="E206" s="8" t="str">
        <x:v>rda-ut.png</x:v>
      </x:c>
      <x:c r="F206" s="30"/>
      <x:c r="G206" s="34" t="n">
        <x:v>0</x:v>
      </x:c>
      <x:c r="H206" s="30"/>
      <x:c r="I206" s="32" t="str">
        <x:f>IF(H206&lt;&gt;"",H206,IF(F206="","",ROUND((F206*(1+Ajustes!$B$3/100)*(1+IFERROR(VLOOKUP(B206,Ajustes!$A$7:$B$24,2,FALSE),0)/100)*(1+G206/100))/Ajustes!$B$4,0)*Ajustes!$B$4))</x:f>
      </x:c>
      <x:c r="J206" t="n">
        <x:v>27</x:v>
      </x:c>
    </x:row>
    <x:row r="207">
      <x:c r="A207" t="str">
        <x:v>RDA.VD</x:v>
      </x:c>
      <x:c r="B207" t="str">
        <x:v>Calefacción</x:v>
      </x:c>
      <x:c r="C207" s="8" t="str">
        <x:v>Repuestos Calefactor Diesel ACTECMAX</x:v>
      </x:c>
      <x:c r="D207" s="8" t="str">
        <x:v>Ventilete Difusor / Rejilla de Salida</x:v>
      </x:c>
      <x:c r="E207" s="8" t="str">
        <x:v>rda-vd.png</x:v>
      </x:c>
      <x:c r="F207" s="30"/>
      <x:c r="G207" s="34" t="n">
        <x:v>0</x:v>
      </x:c>
      <x:c r="H207" s="30"/>
      <x:c r="I207" s="32" t="str">
        <x:f>IF(H207&lt;&gt;"",H207,IF(F207="","",ROUND((F207*(1+Ajustes!$B$3/100)*(1+IFERROR(VLOOKUP(B207,Ajustes!$A$7:$B$24,2,FALSE),0)/100)*(1+G207/100))/Ajustes!$B$4,0)*Ajustes!$B$4))</x:f>
      </x:c>
      <x:c r="J207" t="n">
        <x:v>27</x:v>
      </x:c>
    </x:row>
    <x:row r="208">
      <x:c r="A208" t="str">
        <x:v>RDA.T10</x:v>
      </x:c>
      <x:c r="B208" t="str">
        <x:v>Calefacción</x:v>
      </x:c>
      <x:c r="C208" s="8" t="str">
        <x:v>Repuestos Calefactor Diesel ACTECMAX</x:v>
      </x:c>
      <x:c r="D208" s="8" t="str">
        <x:v>Tanque de Combustible 10L</x:v>
      </x:c>
      <x:c r="E208" s="8" t="str">
        <x:v>rda-t10.png</x:v>
      </x:c>
      <x:c r="F208" s="30"/>
      <x:c r="G208" s="34" t="n">
        <x:v>0</x:v>
      </x:c>
      <x:c r="H208" s="30"/>
      <x:c r="I208" s="32" t="str">
        <x:f>IF(H208&lt;&gt;"",H208,IF(F208="","",ROUND((F208*(1+Ajustes!$B$3/100)*(1+IFERROR(VLOOKUP(B208,Ajustes!$A$7:$B$24,2,FALSE),0)/100)*(1+G208/100))/Ajustes!$B$4,0)*Ajustes!$B$4))</x:f>
      </x:c>
      <x:c r="J208" t="n">
        <x:v>27</x:v>
      </x:c>
    </x:row>
    <x:row r="209">
      <x:c r="A209" t="str">
        <x:v>RDA.TE</x:v>
      </x:c>
      <x:c r="B209" t="str">
        <x:v>Calefacción</x:v>
      </x:c>
      <x:c r="C209" s="8" t="str">
        <x:v>Repuestos Calefactor Diesel ACTECMAX</x:v>
      </x:c>
      <x:c r="D209" s="8" t="str">
        <x:v>Tubo de Escape</x:v>
      </x:c>
      <x:c r="E209" s="8" t="str">
        <x:v>rda-te.png</x:v>
      </x:c>
      <x:c r="F209" s="30"/>
      <x:c r="G209" s="34" t="n">
        <x:v>0</x:v>
      </x:c>
      <x:c r="H209" s="30"/>
      <x:c r="I209" s="32" t="str">
        <x:f>IF(H209&lt;&gt;"",H209,IF(F209="","",ROUND((F209*(1+Ajustes!$B$3/100)*(1+IFERROR(VLOOKUP(B209,Ajustes!$A$7:$B$24,2,FALSE),0)/100)*(1+G209/100))/Ajustes!$B$4,0)*Ajustes!$B$4))</x:f>
      </x:c>
      <x:c r="J209" t="n">
        <x:v>27</x:v>
      </x:c>
    </x:row>
    <x:row r="210">
      <x:c r="A210" t="str">
        <x:v>RDA.STE</x:v>
      </x:c>
      <x:c r="B210" t="str">
        <x:v>Calefacción</x:v>
      </x:c>
      <x:c r="C210" s="8" t="str">
        <x:v>Repuestos Calefactor Diesel ACTECMAX</x:v>
      </x:c>
      <x:c r="D210" s="8" t="str">
        <x:v>Silenciador P/Escape</x:v>
      </x:c>
      <x:c r="E210" s="8" t="str">
        <x:v>rda-ste.png</x:v>
      </x:c>
      <x:c r="F210" s="30"/>
      <x:c r="G210" s="34" t="n">
        <x:v>0</x:v>
      </x:c>
      <x:c r="H210" s="30"/>
      <x:c r="I210" s="32" t="str">
        <x:f>IF(H210&lt;&gt;"",H210,IF(F210="","",ROUND((F210*(1+Ajustes!$B$3/100)*(1+IFERROR(VLOOKUP(B210,Ajustes!$A$7:$B$24,2,FALSE),0)/100)*(1+G210/100))/Ajustes!$B$4,0)*Ajustes!$B$4))</x:f>
      </x:c>
      <x:c r="J210" t="n">
        <x:v>28</x:v>
      </x:c>
    </x:row>
    <x:row r="211">
      <x:c r="A211" t="str">
        <x:v>RDA.DS</x:v>
      </x:c>
      <x:c r="B211" t="str">
        <x:v>Calefacción</x:v>
      </x:c>
      <x:c r="C211" s="8" t="str">
        <x:v>Repuestos Calefactor Diesel ACTECMAX</x:v>
      </x:c>
      <x:c r="D211" s="8" t="str">
        <x:v>Ducto de salida</x:v>
      </x:c>
      <x:c r="E211" s="8" t="str">
        <x:v>rda-ds.png</x:v>
      </x:c>
      <x:c r="F211" s="30"/>
      <x:c r="G211" s="34" t="n">
        <x:v>0</x:v>
      </x:c>
      <x:c r="H211" s="30"/>
      <x:c r="I211" s="32" t="str">
        <x:f>IF(H211&lt;&gt;"",H211,IF(F211="","",ROUND((F211*(1+Ajustes!$B$3/100)*(1+IFERROR(VLOOKUP(B211,Ajustes!$A$7:$B$24,2,FALSE),0)/100)*(1+G211/100))/Ajustes!$B$4,0)*Ajustes!$B$4))</x:f>
      </x:c>
      <x:c r="J211" t="n">
        <x:v>28</x:v>
      </x:c>
    </x:row>
    <x:row r="212">
      <x:c r="A212" t="str">
        <x:v>RDA.FS</x:v>
      </x:c>
      <x:c r="B212" t="str">
        <x:v>Calefacción</x:v>
      </x:c>
      <x:c r="C212" s="8" t="str">
        <x:v>Repuestos Calefactor Diesel ACTECMAX</x:v>
      </x:c>
      <x:c r="D212" s="8" t="str">
        <x:v>Filtro de Aire</x:v>
      </x:c>
      <x:c r="E212" s="8" t="str">
        <x:v>rda-fs.png</x:v>
      </x:c>
      <x:c r="F212" s="30"/>
      <x:c r="G212" s="34" t="n">
        <x:v>0</x:v>
      </x:c>
      <x:c r="H212" s="30"/>
      <x:c r="I212" s="32" t="str">
        <x:f>IF(H212&lt;&gt;"",H212,IF(F212="","",ROUND((F212*(1+Ajustes!$B$3/100)*(1+IFERROR(VLOOKUP(B212,Ajustes!$A$7:$B$24,2,FALSE),0)/100)*(1+G212/100))/Ajustes!$B$4,0)*Ajustes!$B$4))</x:f>
      </x:c>
      <x:c r="J212" t="n">
        <x:v>28</x:v>
      </x:c>
    </x:row>
    <x:row r="213">
      <x:c r="A213" t="str">
        <x:v>RDA.B.12</x:v>
      </x:c>
      <x:c r="B213" t="str">
        <x:v>Calefacción</x:v>
      </x:c>
      <x:c r="C213" s="8" t="str">
        <x:v>Repuestos Calefactor Diesel ACTECMAX</x:v>
      </x:c>
      <x:c r="D213" s="8" t="str">
        <x:v>Bujia 12v</x:v>
      </x:c>
      <x:c r="E213" s="8" t="str">
        <x:v>rda-b-12.png</x:v>
      </x:c>
      <x:c r="F213" s="30"/>
      <x:c r="G213" s="34" t="n">
        <x:v>0</x:v>
      </x:c>
      <x:c r="H213" s="30"/>
      <x:c r="I213" s="32" t="str">
        <x:f>IF(H213&lt;&gt;"",H213,IF(F213="","",ROUND((F213*(1+Ajustes!$B$3/100)*(1+IFERROR(VLOOKUP(B213,Ajustes!$A$7:$B$24,2,FALSE),0)/100)*(1+G213/100))/Ajustes!$B$4,0)*Ajustes!$B$4))</x:f>
      </x:c>
      <x:c r="J213" t="n">
        <x:v>28</x:v>
      </x:c>
    </x:row>
    <x:row r="214">
      <x:c r="A214" t="str">
        <x:v>RDA.B.24</x:v>
      </x:c>
      <x:c r="B214" t="str">
        <x:v>Calefacción</x:v>
      </x:c>
      <x:c r="C214" s="8" t="str">
        <x:v>Repuestos Calefactor Diesel ACTECMAX</x:v>
      </x:c>
      <x:c r="D214" s="8" t="str">
        <x:v>Bujia 24v</x:v>
      </x:c>
      <x:c r="E214" s="8" t="str">
        <x:v>rda-b-24.png</x:v>
      </x:c>
      <x:c r="F214" s="30"/>
      <x:c r="G214" s="34" t="n">
        <x:v>0</x:v>
      </x:c>
      <x:c r="H214" s="30"/>
      <x:c r="I214" s="32" t="str">
        <x:f>IF(H214&lt;&gt;"",H214,IF(F214="","",ROUND((F214*(1+Ajustes!$B$3/100)*(1+IFERROR(VLOOKUP(B214,Ajustes!$A$7:$B$24,2,FALSE),0)/100)*(1+G214/100))/Ajustes!$B$4,0)*Ajustes!$B$4))</x:f>
      </x:c>
      <x:c r="J214" t="n">
        <x:v>28</x:v>
      </x:c>
    </x:row>
    <x:row r="215">
      <x:c r="A215" t="str">
        <x:v>RDA.FB</x:v>
      </x:c>
      <x:c r="B215" t="str">
        <x:v>Calefacción</x:v>
      </x:c>
      <x:c r="C215" s="8" t="str">
        <x:v>Repuestos Calefactor Diesel ACTECMAX</x:v>
      </x:c>
      <x:c r="D215" s="8" t="str">
        <x:v>Filtro P/Bujia</x:v>
      </x:c>
      <x:c r="E215" s="8" t="str">
        <x:v>rda-fb.png</x:v>
      </x:c>
      <x:c r="F215" s="30"/>
      <x:c r="G215" s="34" t="n">
        <x:v>0</x:v>
      </x:c>
      <x:c r="H215" s="30"/>
      <x:c r="I215" s="32" t="str">
        <x:f>IF(H215&lt;&gt;"",H215,IF(F215="","",ROUND((F215*(1+Ajustes!$B$3/100)*(1+IFERROR(VLOOKUP(B215,Ajustes!$A$7:$B$24,2,FALSE),0)/100)*(1+G215/100))/Ajustes!$B$4,0)*Ajustes!$B$4))</x:f>
      </x:c>
      <x:c r="J215" t="n">
        <x:v>28</x:v>
      </x:c>
    </x:row>
    <x:row r="216">
      <x:c r="A216" t="str">
        <x:v>RDA.BG.12</x:v>
      </x:c>
      <x:c r="B216" t="str">
        <x:v>Calefacción</x:v>
      </x:c>
      <x:c r="C216" s="8" t="str">
        <x:v>Repuestos Calefactor Diesel ACTECMAX</x:v>
      </x:c>
      <x:c r="D216" s="8" t="str">
        <x:v>Bomba de Gasoil 12v</x:v>
      </x:c>
      <x:c r="E216" s="8" t="str">
        <x:v>rda-bg-12.png</x:v>
      </x:c>
      <x:c r="F216" s="30"/>
      <x:c r="G216" s="34" t="n">
        <x:v>0</x:v>
      </x:c>
      <x:c r="H216" s="30"/>
      <x:c r="I216" s="32" t="str">
        <x:f>IF(H216&lt;&gt;"",H216,IF(F216="","",ROUND((F216*(1+Ajustes!$B$3/100)*(1+IFERROR(VLOOKUP(B216,Ajustes!$A$7:$B$24,2,FALSE),0)/100)*(1+G216/100))/Ajustes!$B$4,0)*Ajustes!$B$4))</x:f>
      </x:c>
      <x:c r="J216" t="n">
        <x:v>28</x:v>
      </x:c>
    </x:row>
    <x:row r="217">
      <x:c r="A217" t="str">
        <x:v>RDA.BG.24</x:v>
      </x:c>
      <x:c r="B217" t="str">
        <x:v>Calefacción</x:v>
      </x:c>
      <x:c r="C217" s="8" t="str">
        <x:v>Repuestos Calefactor Diesel ACTECMAX</x:v>
      </x:c>
      <x:c r="D217" s="8" t="str">
        <x:v>Bomba de Gasoil 24v</x:v>
      </x:c>
      <x:c r="E217" s="8" t="str">
        <x:v>rda-bg-24.png</x:v>
      </x:c>
      <x:c r="F217" s="30"/>
      <x:c r="G217" s="34" t="n">
        <x:v>0</x:v>
      </x:c>
      <x:c r="H217" s="30"/>
      <x:c r="I217" s="32" t="str">
        <x:f>IF(H217&lt;&gt;"",H217,IF(F217="","",ROUND((F217*(1+Ajustes!$B$3/100)*(1+IFERROR(VLOOKUP(B217,Ajustes!$A$7:$B$24,2,FALSE),0)/100)*(1+G217/100))/Ajustes!$B$4,0)*Ajustes!$B$4))</x:f>
      </x:c>
      <x:c r="J217" t="n">
        <x:v>28</x:v>
      </x:c>
    </x:row>
    <x:row r="218">
      <x:c r="A218" t="str">
        <x:v>RDA.FG</x:v>
      </x:c>
      <x:c r="B218" t="str">
        <x:v>Calefacción</x:v>
      </x:c>
      <x:c r="C218" s="8" t="str">
        <x:v>Repuestos Calefactor Diesel ACTECMAX</x:v>
      </x:c>
      <x:c r="D218" s="8" t="str">
        <x:v>Filtro de Gasoil</x:v>
      </x:c>
      <x:c r="E218" s="8" t="str">
        <x:v>rda-fg.png</x:v>
      </x:c>
      <x:c r="F218" s="30"/>
      <x:c r="G218" s="34" t="n">
        <x:v>0</x:v>
      </x:c>
      <x:c r="H218" s="30"/>
      <x:c r="I218" s="32" t="str">
        <x:f>IF(H218&lt;&gt;"",H218,IF(F218="","",ROUND((F218*(1+Ajustes!$B$3/100)*(1+IFERROR(VLOOKUP(B218,Ajustes!$A$7:$B$24,2,FALSE),0)/100)*(1+G218/100))/Ajustes!$B$4,0)*Ajustes!$B$4))</x:f>
      </x:c>
      <x:c r="J218" t="n">
        <x:v>29</x:v>
      </x:c>
    </x:row>
    <x:row r="219">
      <x:c r="A219" t="str">
        <x:v>RDA.S12</x:v>
      </x:c>
      <x:c r="B219" t="str">
        <x:v>Calefacción</x:v>
      </x:c>
      <x:c r="C219" s="8" t="str">
        <x:v>Repuestos Calefactor Diesel ACTECMAX</x:v>
      </x:c>
      <x:c r="D219" s="8" t="str">
        <x:v>Soplador 12v</x:v>
      </x:c>
      <x:c r="E219" s="8" t="str">
        <x:v>rda-s12.png</x:v>
      </x:c>
      <x:c r="F219" s="30"/>
      <x:c r="G219" s="34" t="n">
        <x:v>0</x:v>
      </x:c>
      <x:c r="H219" s="30"/>
      <x:c r="I219" s="32" t="str">
        <x:f>IF(H219&lt;&gt;"",H219,IF(F219="","",ROUND((F219*(1+Ajustes!$B$3/100)*(1+IFERROR(VLOOKUP(B219,Ajustes!$A$7:$B$24,2,FALSE),0)/100)*(1+G219/100))/Ajustes!$B$4,0)*Ajustes!$B$4))</x:f>
      </x:c>
      <x:c r="J219" t="n">
        <x:v>29</x:v>
      </x:c>
    </x:row>
    <x:row r="220">
      <x:c r="A220" t="str">
        <x:v>RDA.S24</x:v>
      </x:c>
      <x:c r="B220" t="str">
        <x:v>Calefacción</x:v>
      </x:c>
      <x:c r="C220" s="8" t="str">
        <x:v>Repuestos Calefactor Diesel ACTECMAX</x:v>
      </x:c>
      <x:c r="D220" s="8" t="str">
        <x:v>Soplador 24v</x:v>
      </x:c>
      <x:c r="E220" s="8" t="str">
        <x:v>rda-s24.png</x:v>
      </x:c>
      <x:c r="F220" s="30"/>
      <x:c r="G220" s="34" t="n">
        <x:v>0</x:v>
      </x:c>
      <x:c r="H220" s="30"/>
      <x:c r="I220" s="32" t="str">
        <x:f>IF(H220&lt;&gt;"",H220,IF(F220="","",ROUND((F220*(1+Ajustes!$B$3/100)*(1+IFERROR(VLOOKUP(B220,Ajustes!$A$7:$B$24,2,FALSE),0)/100)*(1+G220/100))/Ajustes!$B$4,0)*Ajustes!$B$4))</x:f>
      </x:c>
      <x:c r="J220" t="n">
        <x:v>29</x:v>
      </x:c>
    </x:row>
    <x:row r="221">
      <x:c r="A221" t="str">
        <x:v>RDA.QP</x:v>
      </x:c>
      <x:c r="B221" t="str">
        <x:v>Calefacción</x:v>
      </x:c>
      <x:c r="C221" s="8" t="str">
        <x:v>Repuestos Calefactor Diesel ACTECMAX</x:v>
      </x:c>
      <x:c r="D221" s="8" t="str">
        <x:v>Quemador Parking Heater</x:v>
      </x:c>
      <x:c r="E221" s="8" t="str">
        <x:v>rda-qp.png</x:v>
      </x:c>
      <x:c r="F221" s="30"/>
      <x:c r="G221" s="34" t="n">
        <x:v>0</x:v>
      </x:c>
      <x:c r="H221" s="30"/>
      <x:c r="I221" s="32" t="str">
        <x:f>IF(H221&lt;&gt;"",H221,IF(F221="","",ROUND((F221*(1+Ajustes!$B$3/100)*(1+IFERROR(VLOOKUP(B221,Ajustes!$A$7:$B$24,2,FALSE),0)/100)*(1+G221/100))/Ajustes!$B$4,0)*Ajustes!$B$4))</x:f>
      </x:c>
      <x:c r="J221" t="n">
        <x:v>29</x:v>
      </x:c>
    </x:row>
    <x:row r="222">
      <x:c r="A222" t="str">
        <x:v>RDA.GA</x:v>
      </x:c>
      <x:c r="B222" t="str">
        <x:v>Calefacción</x:v>
      </x:c>
      <x:c r="C222" s="8" t="str">
        <x:v>Repuestos Calefactor Diesel ACTECMAX</x:v>
      </x:c>
      <x:c r="D222" s="8" t="str">
        <x:v>Goma de asiento</x:v>
      </x:c>
      <x:c r="E222" s="8" t="str">
        <x:v>rda-ga.png</x:v>
      </x:c>
      <x:c r="F222" s="30"/>
      <x:c r="G222" s="34" t="n">
        <x:v>0</x:v>
      </x:c>
      <x:c r="H222" s="30"/>
      <x:c r="I222" s="32" t="str">
        <x:f>IF(H222&lt;&gt;"",H222,IF(F222="","",ROUND((F222*(1+Ajustes!$B$3/100)*(1+IFERROR(VLOOKUP(B222,Ajustes!$A$7:$B$24,2,FALSE),0)/100)*(1+G222/100))/Ajustes!$B$4,0)*Ajustes!$B$4))</x:f>
      </x:c>
      <x:c r="J222" t="n">
        <x:v>29</x:v>
      </x:c>
    </x:row>
    <x:row r="223">
      <x:c r="A223" t="str">
        <x:v>RDA.JAQ</x:v>
      </x:c>
      <x:c r="B223" t="str">
        <x:v>Calefacción</x:v>
      </x:c>
      <x:c r="C223" s="8" t="str">
        <x:v>Repuestos Calefactor Diesel ACTECMAX</x:v>
      </x:c>
      <x:c r="D223" s="8" t="str">
        <x:v>Junta Asiento Quemador</x:v>
      </x:c>
      <x:c r="E223" s="8" t="str">
        <x:v>rda-jaq.png</x:v>
      </x:c>
      <x:c r="F223" s="30"/>
      <x:c r="G223" s="34" t="n">
        <x:v>0</x:v>
      </x:c>
      <x:c r="H223" s="30"/>
      <x:c r="I223" s="32" t="str">
        <x:f>IF(H223&lt;&gt;"",H223,IF(F223="","",ROUND((F223*(1+Ajustes!$B$3/100)*(1+IFERROR(VLOOKUP(B223,Ajustes!$A$7:$B$24,2,FALSE),0)/100)*(1+G223/100))/Ajustes!$B$4,0)*Ajustes!$B$4))</x:f>
      </x:c>
      <x:c r="J223" t="n">
        <x:v>29</x:v>
      </x:c>
    </x:row>
    <x:row r="224">
      <x:c r="A224" t="str">
        <x:v>RDA.JBP</x:v>
      </x:c>
      <x:c r="B224" t="str">
        <x:v>Calefacción</x:v>
      </x:c>
      <x:c r="C224" s="8" t="str">
        <x:v>Repuestos Calefactor Diesel ACTECMAX</x:v>
      </x:c>
      <x:c r="D224" s="8" t="str">
        <x:v>Junta Block Parking Heater</x:v>
      </x:c>
      <x:c r="E224" s="8" t="str">
        <x:v>rda-jbp.png</x:v>
      </x:c>
      <x:c r="F224" s="30"/>
      <x:c r="G224" s="34" t="n">
        <x:v>0</x:v>
      </x:c>
      <x:c r="H224" s="30"/>
      <x:c r="I224" s="32" t="str">
        <x:f>IF(H224&lt;&gt;"",H224,IF(F224="","",ROUND((F224*(1+Ajustes!$B$3/100)*(1+IFERROR(VLOOKUP(B224,Ajustes!$A$7:$B$24,2,FALSE),0)/100)*(1+G224/100))/Ajustes!$B$4,0)*Ajustes!$B$4))</x:f>
      </x:c>
      <x:c r="J224" t="n">
        <x:v>29</x:v>
      </x:c>
    </x:row>
    <x:row r="225">
      <x:c r="A225" t="str">
        <x:v>RDA.D.34</x:v>
      </x:c>
      <x:c r="B225" t="str">
        <x:v>Calefacción</x:v>
      </x:c>
      <x:c r="C225" s="8" t="str">
        <x:v>Repuestos Calefactor Diesel ACTECMAX</x:v>
      </x:c>
      <x:c r="D225" s="8" t="str">
        <x:v>Display - RAD303/RAD 304</x:v>
      </x:c>
      <x:c r="E225" s="8" t="str">
        <x:v>rda-d-34.png</x:v>
      </x:c>
      <x:c r="F225" s="30"/>
      <x:c r="G225" s="34" t="n">
        <x:v>0</x:v>
      </x:c>
      <x:c r="H225" s="30"/>
      <x:c r="I225" s="32" t="str">
        <x:f>IF(H225&lt;&gt;"",H225,IF(F225="","",ROUND((F225*(1+Ajustes!$B$3/100)*(1+IFERROR(VLOOKUP(B225,Ajustes!$A$7:$B$24,2,FALSE),0)/100)*(1+G225/100))/Ajustes!$B$4,0)*Ajustes!$B$4))</x:f>
      </x:c>
      <x:c r="J225" t="n">
        <x:v>29</x:v>
      </x:c>
    </x:row>
    <x:row r="226">
      <x:c r="A226" t="str">
        <x:v>RDA.D.1</x:v>
      </x:c>
      <x:c r="B226" t="str">
        <x:v>Calefacción</x:v>
      </x:c>
      <x:c r="C226" s="8" t="str">
        <x:v>Repuestos Calefactor Diesel ACTECMAX</x:v>
      </x:c>
      <x:c r="D226" s="8" t="str">
        <x:v>DIsplay - RAD301</x:v>
      </x:c>
      <x:c r="E226" s="8" t="str">
        <x:v>rda-d-1.png</x:v>
      </x:c>
      <x:c r="F226" s="30"/>
      <x:c r="G226" s="34" t="n">
        <x:v>0</x:v>
      </x:c>
      <x:c r="H226" s="30"/>
      <x:c r="I226" s="32" t="str">
        <x:f>IF(H226&lt;&gt;"",H226,IF(F226="","",ROUND((F226*(1+Ajustes!$B$3/100)*(1+IFERROR(VLOOKUP(B226,Ajustes!$A$7:$B$24,2,FALSE),0)/100)*(1+G226/100))/Ajustes!$B$4,0)*Ajustes!$B$4))</x:f>
      </x:c>
      <x:c r="J226" t="n">
        <x:v>30</x:v>
      </x:c>
    </x:row>
    <x:row r="227">
      <x:c r="A227" t="str">
        <x:v>RDA.D.2</x:v>
      </x:c>
      <x:c r="B227" t="str">
        <x:v>Calefacción</x:v>
      </x:c>
      <x:c r="C227" s="8" t="str">
        <x:v>Repuestos Calefactor Diesel ACTECMAX</x:v>
      </x:c>
      <x:c r="D227" s="8" t="str">
        <x:v>DIsplay - RAD302</x:v>
      </x:c>
      <x:c r="E227" s="8" t="str">
        <x:v>rda-d-2.png</x:v>
      </x:c>
      <x:c r="F227" s="30"/>
      <x:c r="G227" s="34" t="n">
        <x:v>0</x:v>
      </x:c>
      <x:c r="H227" s="30"/>
      <x:c r="I227" s="32" t="str">
        <x:f>IF(H227&lt;&gt;"",H227,IF(F227="","",ROUND((F227*(1+Ajustes!$B$3/100)*(1+IFERROR(VLOOKUP(B227,Ajustes!$A$7:$B$24,2,FALSE),0)/100)*(1+G227/100))/Ajustes!$B$4,0)*Ajustes!$B$4))</x:f>
      </x:c>
      <x:c r="J227" t="n">
        <x:v>30</x:v>
      </x:c>
    </x:row>
    <x:row r="228">
      <x:c r="A228" t="str">
        <x:v>RDA.P1</x:v>
      </x:c>
      <x:c r="B228" t="str">
        <x:v>Calefacción</x:v>
      </x:c>
      <x:c r="C228" s="8" t="str">
        <x:v>Repuestos Calefactor Diesel ACTECMAX</x:v>
      </x:c>
      <x:c r="D228" s="8" t="str">
        <x:v>Plaqueta RAD301</x:v>
      </x:c>
      <x:c r="E228" s="8" t="str">
        <x:v>rda-p1.png</x:v>
      </x:c>
      <x:c r="F228" s="30"/>
      <x:c r="G228" s="34" t="n">
        <x:v>0</x:v>
      </x:c>
      <x:c r="H228" s="30"/>
      <x:c r="I228" s="32" t="str">
        <x:f>IF(H228&lt;&gt;"",H228,IF(F228="","",ROUND((F228*(1+Ajustes!$B$3/100)*(1+IFERROR(VLOOKUP(B228,Ajustes!$A$7:$B$24,2,FALSE),0)/100)*(1+G228/100))/Ajustes!$B$4,0)*Ajustes!$B$4))</x:f>
      </x:c>
      <x:c r="J228" t="n">
        <x:v>30</x:v>
      </x:c>
    </x:row>
    <x:row r="229">
      <x:c r="A229" t="str">
        <x:v>RDA.P2</x:v>
      </x:c>
      <x:c r="B229" t="str">
        <x:v>Calefacción</x:v>
      </x:c>
      <x:c r="C229" s="8" t="str">
        <x:v>Repuestos Calefactor Diesel ACTECMAX</x:v>
      </x:c>
      <x:c r="D229" s="8" t="str">
        <x:v>Plaqueta RAD302</x:v>
      </x:c>
      <x:c r="E229" s="8" t="str">
        <x:v>rda-p2.png</x:v>
      </x:c>
      <x:c r="F229" s="30"/>
      <x:c r="G229" s="34" t="n">
        <x:v>0</x:v>
      </x:c>
      <x:c r="H229" s="30"/>
      <x:c r="I229" s="32" t="str">
        <x:f>IF(H229&lt;&gt;"",H229,IF(F229="","",ROUND((F229*(1+Ajustes!$B$3/100)*(1+IFERROR(VLOOKUP(B229,Ajustes!$A$7:$B$24,2,FALSE),0)/100)*(1+G229/100))/Ajustes!$B$4,0)*Ajustes!$B$4))</x:f>
      </x:c>
      <x:c r="J229" t="n">
        <x:v>30</x:v>
      </x:c>
    </x:row>
    <x:row r="230">
      <x:c r="A230" t="str">
        <x:v>RDA.R34</x:v>
      </x:c>
      <x:c r="B230" t="str">
        <x:v>Calefacción</x:v>
      </x:c>
      <x:c r="C230" s="8" t="str">
        <x:v>Repuestos Calefactor Diesel ACTECMAX</x:v>
      </x:c>
      <x:c r="D230" s="8" t="str">
        <x:v>Plaqueta RAD 303/304</x:v>
      </x:c>
      <x:c r="E230" s="8" t="str">
        <x:v>rda-r34.png</x:v>
      </x:c>
      <x:c r="F230" s="30"/>
      <x:c r="G230" s="34" t="n">
        <x:v>0</x:v>
      </x:c>
      <x:c r="H230" s="30"/>
      <x:c r="I230" s="32" t="str">
        <x:f>IF(H230&lt;&gt;"",H230,IF(F230="","",ROUND((F230*(1+Ajustes!$B$3/100)*(1+IFERROR(VLOOKUP(B230,Ajustes!$A$7:$B$24,2,FALSE),0)/100)*(1+G230/100))/Ajustes!$B$4,0)*Ajustes!$B$4))</x:f>
      </x:c>
      <x:c r="J230" t="n">
        <x:v>30</x:v>
      </x:c>
    </x:row>
    <x:row r="231">
      <x:c r="A231" t="str">
        <x:v>RDA.CR34</x:v>
      </x:c>
      <x:c r="B231" t="str">
        <x:v>Calefacción</x:v>
      </x:c>
      <x:c r="C231" s="8" t="str">
        <x:v>Repuestos Calefactor Diesel ACTECMAX</x:v>
      </x:c>
      <x:c r="D231" s="8" t="str">
        <x:v>Cableado RAD 303/304</x:v>
      </x:c>
      <x:c r="E231" s="8" t="str">
        <x:v>rda-cr34.png</x:v>
      </x:c>
      <x:c r="F231" s="30"/>
      <x:c r="G231" s="34" t="n">
        <x:v>0</x:v>
      </x:c>
      <x:c r="H231" s="30"/>
      <x:c r="I231" s="32" t="str">
        <x:f>IF(H231&lt;&gt;"",H231,IF(F231="","",ROUND((F231*(1+Ajustes!$B$3/100)*(1+IFERROR(VLOOKUP(B231,Ajustes!$A$7:$B$24,2,FALSE),0)/100)*(1+G231/100))/Ajustes!$B$4,0)*Ajustes!$B$4))</x:f>
      </x:c>
      <x:c r="J231" t="n">
        <x:v>30</x:v>
      </x:c>
    </x:row>
    <x:row r="232">
      <x:c r="A232" t="str">
        <x:v>SP.12</x:v>
      </x:c>
      <x:c r="B232" t="str">
        <x:v>Cocina</x:v>
      </x:c>
      <x:c r="C232" s="8" t="str">
        <x:v>Accesorios</x:v>
      </x:c>
      <x:c r="D232" s="8" t="str">
        <x:v>Secador de Pelo Plegable 12v - CARBEST</x:v>
      </x:c>
      <x:c r="E232" s="8" t="str">
        <x:v>sp-12.png</x:v>
      </x:c>
      <x:c r="F232" s="30"/>
      <x:c r="G232" s="34" t="n">
        <x:v>0</x:v>
      </x:c>
      <x:c r="H232" s="30"/>
      <x:c r="I232" s="32" t="str">
        <x:f>IF(H232&lt;&gt;"",H232,IF(F232="","",ROUND((F232*(1+Ajustes!$B$3/100)*(1+IFERROR(VLOOKUP(B232,Ajustes!$A$7:$B$24,2,FALSE),0)/100)*(1+G232/100))/Ajustes!$B$4,0)*Ajustes!$B$4))</x:f>
      </x:c>
      <x:c r="J232" t="n">
        <x:v>30</x:v>
      </x:c>
    </x:row>
    <x:row r="233">
      <x:c r="A233" t="str">
        <x:v>CH.2H.VGE</x:v>
      </x:c>
      <x:c r="B233" t="str">
        <x:v>Cocina</x:v>
      </x:c>
      <x:c r="C233" s="8" t="str">
        <x:v>Cocinas con Horno Verticales</x:v>
      </x:c>
      <x:c r="D233" s="8" t="str">
        <x:v>Cocina C/Horno 2H Brogas Vertical Angosta</x:v>
      </x:c>
      <x:c r="E233" s="8" t="str">
        <x:v>ch-2h-vge.png</x:v>
      </x:c>
      <x:c r="F233" s="30"/>
      <x:c r="G233" s="34" t="n">
        <x:v>0</x:v>
      </x:c>
      <x:c r="H233" s="30"/>
      <x:c r="I233" s="32" t="str">
        <x:f>IF(H233&lt;&gt;"",H233,IF(F233="","",ROUND((F233*(1+Ajustes!$B$3/100)*(1+IFERROR(VLOOKUP(B233,Ajustes!$A$7:$B$24,2,FALSE),0)/100)*(1+G233/100))/Ajustes!$B$4,0)*Ajustes!$B$4))</x:f>
      </x:c>
      <x:c r="J233" t="n">
        <x:v>31</x:v>
      </x:c>
    </x:row>
    <x:row r="234">
      <x:c r="A234" t="str">
        <x:v>CH.2H.VGN</x:v>
      </x:c>
      <x:c r="B234" t="str">
        <x:v>Cocina</x:v>
      </x:c>
      <x:c r="C234" s="8" t="str">
        <x:v>Cocinas con Horno Verticales</x:v>
      </x:c>
      <x:c r="D234" s="8" t="str">
        <x:v>Cocina C/Horno 2H Brogas Vertical Angosta</x:v>
      </x:c>
      <x:c r="E234" s="8" t="str">
        <x:v>ch-2h-vgn.png</x:v>
      </x:c>
      <x:c r="F234" s="30"/>
      <x:c r="G234" s="34" t="n">
        <x:v>0</x:v>
      </x:c>
      <x:c r="H234" s="30"/>
      <x:c r="I234" s="32" t="str">
        <x:f>IF(H234&lt;&gt;"",H234,IF(F234="","",ROUND((F234*(1+Ajustes!$B$3/100)*(1+IFERROR(VLOOKUP(B234,Ajustes!$A$7:$B$24,2,FALSE),0)/100)*(1+G234/100))/Ajustes!$B$4,0)*Ajustes!$B$4))</x:f>
      </x:c>
      <x:c r="J234" t="n">
        <x:v>31</x:v>
      </x:c>
    </x:row>
    <x:row r="235">
      <x:c r="A235" t="str">
        <x:v>CH.2H.KVGE</x:v>
      </x:c>
      <x:c r="B235" t="str">
        <x:v>Cocina</x:v>
      </x:c>
      <x:c r="C235" s="8" t="str">
        <x:v>Cocinas con Horno Verticales</x:v>
      </x:c>
      <x:c r="D235" s="8" t="str">
        <x:v>Cocina C/Horno 2H Kitchenette Vertical Angosta</x:v>
      </x:c>
      <x:c r="E235" s="8" t="str">
        <x:v>ch-2h-kvge.png</x:v>
      </x:c>
      <x:c r="F235" s="30"/>
      <x:c r="G235" s="34" t="n">
        <x:v>0</x:v>
      </x:c>
      <x:c r="H235" s="30"/>
      <x:c r="I235" s="32" t="str">
        <x:f>IF(H235&lt;&gt;"",H235,IF(F235="","",ROUND((F235*(1+Ajustes!$B$3/100)*(1+IFERROR(VLOOKUP(B235,Ajustes!$A$7:$B$24,2,FALSE),0)/100)*(1+G235/100))/Ajustes!$B$4,0)*Ajustes!$B$4))</x:f>
      </x:c>
      <x:c r="J235" t="n">
        <x:v>31</x:v>
      </x:c>
    </x:row>
    <x:row r="236">
      <x:c r="A236" t="str">
        <x:v>CH.2H.KVGN</x:v>
      </x:c>
      <x:c r="B236" t="str">
        <x:v>Cocina</x:v>
      </x:c>
      <x:c r="C236" s="8" t="str">
        <x:v>Cocinas con Horno Verticales</x:v>
      </x:c>
      <x:c r="D236" s="8" t="str">
        <x:v>Cocina C/Horno 2H Kitchenette Vertical Angosta</x:v>
      </x:c>
      <x:c r="E236" s="8" t="str">
        <x:v>ch-2h-kvgn.png</x:v>
      </x:c>
      <x:c r="F236" s="30"/>
      <x:c r="G236" s="34" t="n">
        <x:v>0</x:v>
      </x:c>
      <x:c r="H236" s="30"/>
      <x:c r="I236" s="32" t="str">
        <x:f>IF(H236&lt;&gt;"",H236,IF(F236="","",ROUND((F236*(1+Ajustes!$B$3/100)*(1+IFERROR(VLOOKUP(B236,Ajustes!$A$7:$B$24,2,FALSE),0)/100)*(1+G236/100))/Ajustes!$B$4,0)*Ajustes!$B$4))</x:f>
      </x:c>
      <x:c r="J236" t="n">
        <x:v>31</x:v>
      </x:c>
    </x:row>
    <x:row r="237">
      <x:c r="A237" t="str">
        <x:v>CH.2H.KNVGE</x:v>
      </x:c>
      <x:c r="B237" t="str">
        <x:v>Cocina</x:v>
      </x:c>
      <x:c r="C237" s="8" t="str">
        <x:v>Cocinas con Horno Verticales</x:v>
      </x:c>
      <x:c r="D237" s="8" t="str">
        <x:v>Cocina C/Horno 2H Kitchenette Vertical Angosta</x:v>
      </x:c>
      <x:c r="E237" s="8" t="str">
        <x:v>ch-2h-knvge.png</x:v>
      </x:c>
      <x:c r="F237" s="30"/>
      <x:c r="G237" s="34" t="n">
        <x:v>0</x:v>
      </x:c>
      <x:c r="H237" s="30"/>
      <x:c r="I237" s="32" t="str">
        <x:f>IF(H237&lt;&gt;"",H237,IF(F237="","",ROUND((F237*(1+Ajustes!$B$3/100)*(1+IFERROR(VLOOKUP(B237,Ajustes!$A$7:$B$24,2,FALSE),0)/100)*(1+G237/100))/Ajustes!$B$4,0)*Ajustes!$B$4))</x:f>
      </x:c>
      <x:c r="J237" t="n">
        <x:v>31</x:v>
      </x:c>
    </x:row>
    <x:row r="238">
      <x:c r="A238" t="str">
        <x:v>CH.2H.KNVGN</x:v>
      </x:c>
      <x:c r="B238" t="str">
        <x:v>Cocina</x:v>
      </x:c>
      <x:c r="C238" s="8" t="str">
        <x:v>Cocinas con Horno Verticales</x:v>
      </x:c>
      <x:c r="D238" s="8" t="str">
        <x:v>Cocina C/Horno 2H Kitchenette Vertical Angosta</x:v>
      </x:c>
      <x:c r="E238" s="8" t="str">
        <x:v>ch-2h-knvgn.png</x:v>
      </x:c>
      <x:c r="F238" s="30"/>
      <x:c r="G238" s="34" t="n">
        <x:v>0</x:v>
      </x:c>
      <x:c r="H238" s="30"/>
      <x:c r="I238" s="32" t="str">
        <x:f>IF(H238&lt;&gt;"",H238,IF(F238="","",ROUND((F238*(1+Ajustes!$B$3/100)*(1+IFERROR(VLOOKUP(B238,Ajustes!$A$7:$B$24,2,FALSE),0)/100)*(1+G238/100))/Ajustes!$B$4,0)*Ajustes!$B$4))</x:f>
      </x:c>
      <x:c r="J238" t="n">
        <x:v>31</x:v>
      </x:c>
    </x:row>
    <x:row r="239">
      <x:c r="A239" t="str">
        <x:v>CH.2H.SGE</x:v>
      </x:c>
      <x:c r="B239" t="str">
        <x:v>Cocina</x:v>
      </x:c>
      <x:c r="C239" s="8" t="str">
        <x:v>Cocinas con Horno para Embutir</x:v>
      </x:c>
      <x:c r="D239" s="8" t="str">
        <x:v>Cocina C/Horno 2H Brogas Sopita</x:v>
      </x:c>
      <x:c r="E239" s="8" t="str">
        <x:v>ch-2h-sge.png</x:v>
      </x:c>
      <x:c r="F239" s="30"/>
      <x:c r="G239" s="34" t="n">
        <x:v>0</x:v>
      </x:c>
      <x:c r="H239" s="30"/>
      <x:c r="I239" s="32" t="str">
        <x:f>IF(H239&lt;&gt;"",H239,IF(F239="","",ROUND((F239*(1+Ajustes!$B$3/100)*(1+IFERROR(VLOOKUP(B239,Ajustes!$A$7:$B$24,2,FALSE),0)/100)*(1+G239/100))/Ajustes!$B$4,0)*Ajustes!$B$4))</x:f>
      </x:c>
      <x:c r="J239" t="n">
        <x:v>31</x:v>
      </x:c>
    </x:row>
    <x:row r="240">
      <x:c r="A240" t="str">
        <x:v>CH.2H.SGN</x:v>
      </x:c>
      <x:c r="B240" t="str">
        <x:v>Cocina</x:v>
      </x:c>
      <x:c r="C240" s="8" t="str">
        <x:v>Cocinas con Horno para Embutir</x:v>
      </x:c>
      <x:c r="D240" s="8" t="str">
        <x:v>Cocina C/Horno 2H Brogas Sopita</x:v>
      </x:c>
      <x:c r="E240" s="8" t="str">
        <x:v>ch-2h-sgn.png</x:v>
      </x:c>
      <x:c r="F240" s="30"/>
      <x:c r="G240" s="34" t="n">
        <x:v>0</x:v>
      </x:c>
      <x:c r="H240" s="30"/>
      <x:c r="I240" s="32" t="str">
        <x:f>IF(H240&lt;&gt;"",H240,IF(F240="","",ROUND((F240*(1+Ajustes!$B$3/100)*(1+IFERROR(VLOOKUP(B240,Ajustes!$A$7:$B$24,2,FALSE),0)/100)*(1+G240/100))/Ajustes!$B$4,0)*Ajustes!$B$4))</x:f>
      </x:c>
      <x:c r="J240" t="n">
        <x:v>31</x:v>
      </x:c>
    </x:row>
    <x:row r="241">
      <x:c r="A241" t="str">
        <x:v>CH.2H.DNGE</x:v>
      </x:c>
      <x:c r="B241" t="str">
        <x:v>Cocina</x:v>
      </x:c>
      <x:c r="C241" s="8" t="str">
        <x:v>Cocinas con Horno para Embutir</x:v>
      </x:c>
      <x:c r="D241" s="8" t="str">
        <x:v>Cocina C/Horno 2H BRAM METAL Deluxe</x:v>
      </x:c>
      <x:c r="E241" s="8" t="str">
        <x:v>ch-2h-dnge.png</x:v>
      </x:c>
      <x:c r="F241" s="30"/>
      <x:c r="G241" s="34" t="n">
        <x:v>0</x:v>
      </x:c>
      <x:c r="H241" s="30"/>
      <x:c r="I241" s="32" t="str">
        <x:f>IF(H241&lt;&gt;"",H241,IF(F241="","",ROUND((F241*(1+Ajustes!$B$3/100)*(1+IFERROR(VLOOKUP(B241,Ajustes!$A$7:$B$24,2,FALSE),0)/100)*(1+G241/100))/Ajustes!$B$4,0)*Ajustes!$B$4))</x:f>
      </x:c>
      <x:c r="J241" t="n">
        <x:v>32</x:v>
      </x:c>
    </x:row>
    <x:row r="242">
      <x:c r="A242" t="str">
        <x:v>CH.2H.DNGN</x:v>
      </x:c>
      <x:c r="B242" t="str">
        <x:v>Cocina</x:v>
      </x:c>
      <x:c r="C242" s="8" t="str">
        <x:v>Cocinas con Horno para Embutir</x:v>
      </x:c>
      <x:c r="D242" s="8" t="str">
        <x:v>Cocina C/Horno 2H BRAM METAL Deluxe</x:v>
      </x:c>
      <x:c r="E242" s="8" t="str">
        <x:v>ch-2h-dngn.png</x:v>
      </x:c>
      <x:c r="F242" s="30"/>
      <x:c r="G242" s="34" t="n">
        <x:v>0</x:v>
      </x:c>
      <x:c r="H242" s="30"/>
      <x:c r="I242" s="32" t="str">
        <x:f>IF(H242&lt;&gt;"",H242,IF(F242="","",ROUND((F242*(1+Ajustes!$B$3/100)*(1+IFERROR(VLOOKUP(B242,Ajustes!$A$7:$B$24,2,FALSE),0)/100)*(1+G242/100))/Ajustes!$B$4,0)*Ajustes!$B$4))</x:f>
      </x:c>
      <x:c r="J242" t="n">
        <x:v>32</x:v>
      </x:c>
    </x:row>
    <x:row r="243">
      <x:c r="A243" t="str">
        <x:v>CH.2H.BNGE</x:v>
      </x:c>
      <x:c r="B243" t="str">
        <x:v>Cocina</x:v>
      </x:c>
      <x:c r="C243" s="8" t="str">
        <x:v>Cocinas con Horno para Embutir</x:v>
      </x:c>
      <x:c r="D243" s="8" t="str">
        <x:v>Cocina C/Horno 2H BRAM METAL</x:v>
      </x:c>
      <x:c r="E243" s="8" t="str">
        <x:v>ch-2h-bnge.png</x:v>
      </x:c>
      <x:c r="F243" s="30"/>
      <x:c r="G243" s="34" t="n">
        <x:v>0</x:v>
      </x:c>
      <x:c r="H243" s="30"/>
      <x:c r="I243" s="32" t="str">
        <x:f>IF(H243&lt;&gt;"",H243,IF(F243="","",ROUND((F243*(1+Ajustes!$B$3/100)*(1+IFERROR(VLOOKUP(B243,Ajustes!$A$7:$B$24,2,FALSE),0)/100)*(1+G243/100))/Ajustes!$B$4,0)*Ajustes!$B$4))</x:f>
      </x:c>
      <x:c r="J243" t="n">
        <x:v>32</x:v>
      </x:c>
    </x:row>
    <x:row r="244">
      <x:c r="A244" t="str">
        <x:v>CH.2H.BNGN</x:v>
      </x:c>
      <x:c r="B244" t="str">
        <x:v>Cocina</x:v>
      </x:c>
      <x:c r="C244" s="8" t="str">
        <x:v>Cocinas con Horno para Embutir</x:v>
      </x:c>
      <x:c r="D244" s="8" t="str">
        <x:v>Cocina C/Horno 2H BRAM METAL</x:v>
      </x:c>
      <x:c r="E244" s="8" t="str">
        <x:v>ch-2h-bngn.png</x:v>
      </x:c>
      <x:c r="F244" s="30"/>
      <x:c r="G244" s="34" t="n">
        <x:v>0</x:v>
      </x:c>
      <x:c r="H244" s="30"/>
      <x:c r="I244" s="32" t="str">
        <x:f>IF(H244&lt;&gt;"",H244,IF(F244="","",ROUND((F244*(1+Ajustes!$B$3/100)*(1+IFERROR(VLOOKUP(B244,Ajustes!$A$7:$B$24,2,FALSE),0)/100)*(1+G244/100))/Ajustes!$B$4,0)*Ajustes!$B$4))</x:f>
      </x:c>
      <x:c r="J244" t="n">
        <x:v>32</x:v>
      </x:c>
    </x:row>
    <x:row r="245">
      <x:c r="A245" t="str">
        <x:v>CH.2H.BBGE</x:v>
      </x:c>
      <x:c r="B245" t="str">
        <x:v>Cocina</x:v>
      </x:c>
      <x:c r="C245" s="8" t="str">
        <x:v>Cocinas con Horno para Embutir</x:v>
      </x:c>
      <x:c r="D245" s="8" t="str">
        <x:v>Cocina C/Horno 2H BRAM METAL</x:v>
      </x:c>
      <x:c r="E245" s="8" t="str">
        <x:v>ch-2h-bbge.png</x:v>
      </x:c>
      <x:c r="F245" s="30"/>
      <x:c r="G245" s="34" t="n">
        <x:v>0</x:v>
      </x:c>
      <x:c r="H245" s="30"/>
      <x:c r="I245" s="32" t="str">
        <x:f>IF(H245&lt;&gt;"",H245,IF(F245="","",ROUND((F245*(1+Ajustes!$B$3/100)*(1+IFERROR(VLOOKUP(B245,Ajustes!$A$7:$B$24,2,FALSE),0)/100)*(1+G245/100))/Ajustes!$B$4,0)*Ajustes!$B$4))</x:f>
      </x:c>
      <x:c r="J245" t="n">
        <x:v>32</x:v>
      </x:c>
    </x:row>
    <x:row r="246">
      <x:c r="A246" t="str">
        <x:v>CH.2H.BBGN</x:v>
      </x:c>
      <x:c r="B246" t="str">
        <x:v>Cocina</x:v>
      </x:c>
      <x:c r="C246" s="8" t="str">
        <x:v>Cocinas con Horno para Embutir</x:v>
      </x:c>
      <x:c r="D246" s="8" t="str">
        <x:v>Cocina C/Horno 2H BRAM METAL</x:v>
      </x:c>
      <x:c r="E246" s="8" t="str">
        <x:v>ch-2h-bbgn.png</x:v>
      </x:c>
      <x:c r="F246" s="30"/>
      <x:c r="G246" s="34" t="n">
        <x:v>0</x:v>
      </x:c>
      <x:c r="H246" s="30"/>
      <x:c r="I246" s="32" t="str">
        <x:f>IF(H246&lt;&gt;"",H246,IF(F246="","",ROUND((F246*(1+Ajustes!$B$3/100)*(1+IFERROR(VLOOKUP(B246,Ajustes!$A$7:$B$24,2,FALSE),0)/100)*(1+G246/100))/Ajustes!$B$4,0)*Ajustes!$B$4))</x:f>
      </x:c>
      <x:c r="J246" t="n">
        <x:v>32</x:v>
      </x:c>
    </x:row>
    <x:row r="247">
      <x:c r="A247" t="str">
        <x:v>BAI.TV.A2</x:v>
      </x:c>
      <x:c r="B247" t="str">
        <x:v>Cocina</x:v>
      </x:c>
      <x:c r="C247" s="8" t="str">
        <x:v>Bachas y Anafes con Tapa de Vidrio</x:v>
      </x:c>
      <x:c r="D247" s="8" t="str">
        <x:v>Bacha C/Tapa de Vidro, Griferia y Anafe 2H</x:v>
      </x:c>
      <x:c r="E247" s="8" t="str">
        <x:v>bai-tv-a2.png</x:v>
      </x:c>
      <x:c r="F247" s="30"/>
      <x:c r="G247" s="34" t="n">
        <x:v>0</x:v>
      </x:c>
      <x:c r="H247" s="30"/>
      <x:c r="I247" s="32" t="str">
        <x:f>IF(H247&lt;&gt;"",H247,IF(F247="","",ROUND((F247*(1+Ajustes!$B$3/100)*(1+IFERROR(VLOOKUP(B247,Ajustes!$A$7:$B$24,2,FALSE),0)/100)*(1+G247/100))/Ajustes!$B$4,0)*Ajustes!$B$4))</x:f>
      </x:c>
      <x:c r="J247" t="n">
        <x:v>32</x:v>
      </x:c>
    </x:row>
    <x:row r="248">
      <x:c r="A248" t="str">
        <x:v>A.2.TV</x:v>
      </x:c>
      <x:c r="B248" t="str">
        <x:v>Cocina</x:v>
      </x:c>
      <x:c r="C248" s="8" t="str">
        <x:v>Bachas y Anafes con Tapa de Vidrio</x:v>
      </x:c>
      <x:c r="D248" s="8" t="str">
        <x:v>Anafe 2H C/Tapa de Vidrio</x:v>
      </x:c>
      <x:c r="E248" s="8" t="str">
        <x:v>a-2-tv.png</x:v>
      </x:c>
      <x:c r="F248" s="30"/>
      <x:c r="G248" s="34" t="n">
        <x:v>0</x:v>
      </x:c>
      <x:c r="H248" s="30"/>
      <x:c r="I248" s="32" t="str">
        <x:f>IF(H248&lt;&gt;"",H248,IF(F248="","",ROUND((F248*(1+Ajustes!$B$3/100)*(1+IFERROR(VLOOKUP(B248,Ajustes!$A$7:$B$24,2,FALSE),0)/100)*(1+G248/100))/Ajustes!$B$4,0)*Ajustes!$B$4))</x:f>
      </x:c>
      <x:c r="J248" t="n">
        <x:v>32</x:v>
      </x:c>
    </x:row>
    <x:row r="249">
      <x:c r="A249" t="str">
        <x:v>BAI.TV</x:v>
      </x:c>
      <x:c r="B249" t="str">
        <x:v>Cocina</x:v>
      </x:c>
      <x:c r="C249" s="8" t="str">
        <x:v>Bachas y Anafes con Tapa de Vidrio</x:v>
      </x:c>
      <x:c r="D249" s="8" t="str">
        <x:v>Bacha Acero C/Tapa de Vidrio y Griferia</x:v>
      </x:c>
      <x:c r="E249" s="8" t="str">
        <x:v>bai-tv.png</x:v>
      </x:c>
      <x:c r="F249" s="30"/>
      <x:c r="G249" s="34" t="n">
        <x:v>0</x:v>
      </x:c>
      <x:c r="H249" s="30"/>
      <x:c r="I249" s="32" t="str">
        <x:f>IF(H249&lt;&gt;"",H249,IF(F249="","",ROUND((F249*(1+Ajustes!$B$3/100)*(1+IFERROR(VLOOKUP(B249,Ajustes!$A$7:$B$24,2,FALSE),0)/100)*(1+G249/100))/Ajustes!$B$4,0)*Ajustes!$B$4))</x:f>
      </x:c>
      <x:c r="J249" t="n">
        <x:v>33</x:v>
      </x:c>
    </x:row>
    <x:row r="250">
      <x:c r="A250" t="str">
        <x:v>AOAI</x:v>
      </x:c>
      <x:c r="B250" t="str">
        <x:v>Cocina</x:v>
      </x:c>
      <x:c r="C250" s="8" t="str">
        <x:v>Anafes 2 Hornallas</x:v>
      </x:c>
      <x:c r="D250" s="8" t="str">
        <x:v>Anafe 2H Ormay Carmin IX - C/Encendido Electrico</x:v>
      </x:c>
      <x:c r="E250" s="8" t="str">
        <x:v>aoai.png</x:v>
      </x:c>
      <x:c r="F250" s="30"/>
      <x:c r="G250" s="34" t="n">
        <x:v>0</x:v>
      </x:c>
      <x:c r="H250" s="30"/>
      <x:c r="I250" s="32" t="str">
        <x:f>IF(H250&lt;&gt;"",H250,IF(F250="","",ROUND((F250*(1+Ajustes!$B$3/100)*(1+IFERROR(VLOOKUP(B250,Ajustes!$A$7:$B$24,2,FALSE),0)/100)*(1+G250/100))/Ajustes!$B$4,0)*Ajustes!$B$4))</x:f>
      </x:c>
      <x:c r="J250" t="n">
        <x:v>33</x:v>
      </x:c>
    </x:row>
    <x:row r="251">
      <x:c r="A251" t="str">
        <x:v>AON</x:v>
      </x:c>
      <x:c r="B251" t="str">
        <x:v>Cocina</x:v>
      </x:c>
      <x:c r="C251" s="8" t="str">
        <x:v>Anafes 2 Hornallas</x:v>
      </x:c>
      <x:c r="D251" s="8" t="str">
        <x:v>Anafe 2H Ormay Carmin N - C/Encendido Electrico</x:v>
      </x:c>
      <x:c r="E251" s="8" t="str">
        <x:v>aon.png</x:v>
      </x:c>
      <x:c r="F251" s="30"/>
      <x:c r="G251" s="34" t="n">
        <x:v>0</x:v>
      </x:c>
      <x:c r="H251" s="30"/>
      <x:c r="I251" s="32" t="str">
        <x:f>IF(H251&lt;&gt;"",H251,IF(F251="","",ROUND((F251*(1+Ajustes!$B$3/100)*(1+IFERROR(VLOOKUP(B251,Ajustes!$A$7:$B$24,2,FALSE),0)/100)*(1+G251/100))/Ajustes!$B$4,0)*Ajustes!$B$4))</x:f>
      </x:c>
      <x:c r="J251" t="n">
        <x:v>33</x:v>
      </x:c>
    </x:row>
    <x:row r="252">
      <x:c r="A252" t="str">
        <x:v>AOB</x:v>
      </x:c>
      <x:c r="B252" t="str">
        <x:v>Cocina</x:v>
      </x:c>
      <x:c r="C252" s="8" t="str">
        <x:v>Anafes 2 Hornallas</x:v>
      </x:c>
      <x:c r="D252" s="8" t="str">
        <x:v>Anafe 2H Ormay Carmin S - Gas Envasado</x:v>
      </x:c>
      <x:c r="E252" s="8" t="str">
        <x:v>aob.png</x:v>
      </x:c>
      <x:c r="F252" s="30"/>
      <x:c r="G252" s="34" t="n">
        <x:v>0</x:v>
      </x:c>
      <x:c r="H252" s="30"/>
      <x:c r="I252" s="32" t="str">
        <x:f>IF(H252&lt;&gt;"",H252,IF(F252="","",ROUND((F252*(1+Ajustes!$B$3/100)*(1+IFERROR(VLOOKUP(B252,Ajustes!$A$7:$B$24,2,FALSE),0)/100)*(1+G252/100))/Ajustes!$B$4,0)*Ajustes!$B$4))</x:f>
      </x:c>
      <x:c r="J252" t="n">
        <x:v>33</x:v>
      </x:c>
    </x:row>
    <x:row r="253">
      <x:c r="A253" t="str">
        <x:v>BAI.RE34</x:v>
      </x:c>
      <x:c r="B253" t="str">
        <x:v>Cocina</x:v>
      </x:c>
      <x:c r="C253" s="8" t="str">
        <x:v>Bachas de Acero Inoxidable</x:v>
      </x:c>
      <x:c r="D253" s="8" t="str">
        <x:v>Bacha Acero Inox. Rectangular</x:v>
      </x:c>
      <x:c r="E253" s="8" t="str">
        <x:v>bai-re34.png</x:v>
      </x:c>
      <x:c r="F253" s="30"/>
      <x:c r="G253" s="34" t="n">
        <x:v>0</x:v>
      </x:c>
      <x:c r="H253" s="30"/>
      <x:c r="I253" s="32" t="str">
        <x:f>IF(H253&lt;&gt;"",H253,IF(F253="","",ROUND((F253*(1+Ajustes!$B$3/100)*(1+IFERROR(VLOOKUP(B253,Ajustes!$A$7:$B$24,2,FALSE),0)/100)*(1+G253/100))/Ajustes!$B$4,0)*Ajustes!$B$4))</x:f>
      </x:c>
      <x:c r="J253" t="n">
        <x:v>33</x:v>
      </x:c>
    </x:row>
    <x:row r="254">
      <x:c r="A254" t="str">
        <x:v>BAI.RE</x:v>
      </x:c>
      <x:c r="B254" t="str">
        <x:v>Cocina</x:v>
      </x:c>
      <x:c r="C254" s="8" t="str">
        <x:v>Bachas de Acero Inoxidable</x:v>
      </x:c>
      <x:c r="D254" s="8" t="str">
        <x:v>Bacha Acero Inox. Rectangular</x:v>
      </x:c>
      <x:c r="E254" s="8" t="str">
        <x:v>bai-re.png</x:v>
      </x:c>
      <x:c r="F254" s="30"/>
      <x:c r="G254" s="34" t="n">
        <x:v>0</x:v>
      </x:c>
      <x:c r="H254" s="30"/>
      <x:c r="I254" s="32" t="str">
        <x:f>IF(H254&lt;&gt;"",H254,IF(F254="","",ROUND((F254*(1+Ajustes!$B$3/100)*(1+IFERROR(VLOOKUP(B254,Ajustes!$A$7:$B$24,2,FALSE),0)/100)*(1+G254/100))/Ajustes!$B$4,0)*Ajustes!$B$4))</x:f>
      </x:c>
      <x:c r="J254" t="n">
        <x:v>33</x:v>
      </x:c>
    </x:row>
    <x:row r="255">
      <x:c r="A255" t="str">
        <x:v>BAI.R</x:v>
      </x:c>
      <x:c r="B255" t="str">
        <x:v>Cocina</x:v>
      </x:c>
      <x:c r="C255" s="8" t="str">
        <x:v>Bachas de Acero Inoxidable</x:v>
      </x:c>
      <x:c r="D255" s="8" t="str">
        <x:v>Bacha Acero Inox. Redonda</x:v>
      </x:c>
      <x:c r="E255" s="8" t="str">
        <x:v>bai-r.png</x:v>
      </x:c>
      <x:c r="F255" s="30"/>
      <x:c r="G255" s="34" t="n">
        <x:v>0</x:v>
      </x:c>
      <x:c r="H255" s="30"/>
      <x:c r="I255" s="32" t="str">
        <x:f>IF(H255&lt;&gt;"",H255,IF(F255="","",ROUND((F255*(1+Ajustes!$B$3/100)*(1+IFERROR(VLOOKUP(B255,Ajustes!$A$7:$B$24,2,FALSE),0)/100)*(1+G255/100))/Ajustes!$B$4,0)*Ajustes!$B$4))</x:f>
      </x:c>
      <x:c r="J255" t="n">
        <x:v>33</x:v>
      </x:c>
    </x:row>
    <x:row r="256">
      <x:c r="A256" t="str">
        <x:v>BAI.O.P</x:v>
      </x:c>
      <x:c r="B256" t="str">
        <x:v>Cocina</x:v>
      </x:c>
      <x:c r="C256" s="8" t="str">
        <x:v>Bachas de Acero Inoxidable</x:v>
      </x:c>
      <x:c r="D256" s="8" t="str">
        <x:v>Bacha Acero Inox. Ovalada PILETIN</x:v>
      </x:c>
      <x:c r="E256" s="8" t="str">
        <x:v>bai-o-p.png</x:v>
      </x:c>
      <x:c r="F256" s="30"/>
      <x:c r="G256" s="34" t="n">
        <x:v>0</x:v>
      </x:c>
      <x:c r="H256" s="30"/>
      <x:c r="I256" s="32" t="str">
        <x:f>IF(H256&lt;&gt;"",H256,IF(F256="","",ROUND((F256*(1+Ajustes!$B$3/100)*(1+IFERROR(VLOOKUP(B256,Ajustes!$A$7:$B$24,2,FALSE),0)/100)*(1+G256/100))/Ajustes!$B$4,0)*Ajustes!$B$4))</x:f>
      </x:c>
      <x:c r="J256" t="n">
        <x:v>33</x:v>
      </x:c>
    </x:row>
    <x:row r="257">
      <x:c r="A257" t="str">
        <x:v>BAI.O</x:v>
      </x:c>
      <x:c r="B257" t="str">
        <x:v>Aberturas</x:v>
      </x:c>
      <x:c r="C257" s="8" t="str">
        <x:v>Bachas de Acero Inoxidable</x:v>
      </x:c>
      <x:c r="D257" s="8" t="str">
        <x:v>Bacha Acero Inox. Ovalada</x:v>
      </x:c>
      <x:c r="E257" s="8" t="str">
        <x:v>bai-o.png</x:v>
      </x:c>
      <x:c r="F257" s="30"/>
      <x:c r="G257" s="34" t="n">
        <x:v>0</x:v>
      </x:c>
      <x:c r="H257" s="30"/>
      <x:c r="I257" s="32" t="str">
        <x:f>IF(H257&lt;&gt;"",H257,IF(F257="","",ROUND((F257*(1+Ajustes!$B$3/100)*(1+IFERROR(VLOOKUP(B257,Ajustes!$A$7:$B$24,2,FALSE),0)/100)*(1+G257/100))/Ajustes!$B$4,0)*Ajustes!$B$4))</x:f>
      </x:c>
      <x:c r="J257" t="n">
        <x:v>34</x:v>
      </x:c>
    </x:row>
    <x:row r="258">
      <x:c r="A258" t="str">
        <x:v>DJLD</x:v>
      </x:c>
      <x:c r="B258" t="str">
        <x:v>Aberturas</x:v>
      </x:c>
      <x:c r="C258" s="8" t="str">
        <x:v>Accesorios</x:v>
      </x:c>
      <x:c r="D258" s="8" t="str">
        <x:v>Dispenser de Jabon Liquido o Detergente</x:v>
      </x:c>
      <x:c r="E258" s="8" t="str">
        <x:v>djld.png</x:v>
      </x:c>
      <x:c r="F258" s="30"/>
      <x:c r="G258" s="34" t="n">
        <x:v>0</x:v>
      </x:c>
      <x:c r="H258" s="30"/>
      <x:c r="I258" s="32" t="str">
        <x:f>IF(H258&lt;&gt;"",H258,IF(F258="","",ROUND((F258*(1+Ajustes!$B$3/100)*(1+IFERROR(VLOOKUP(B258,Ajustes!$A$7:$B$24,2,FALSE),0)/100)*(1+G258/100))/Ajustes!$B$4,0)*Ajustes!$B$4))</x:f>
      </x:c>
      <x:c r="J258" t="n">
        <x:v>34</x:v>
      </x:c>
    </x:row>
    <x:row r="259">
      <x:c r="A259" t="str">
        <x:v>PM.18262</x:v>
      </x:c>
      <x:c r="B259" t="str">
        <x:v>Aberturas</x:v>
      </x:c>
      <x:c r="C259" s="8" t="str">
        <x:v>Puertas de Acceso</x:v>
      </x:c>
      <x:c r="D259" s="8" t="str">
        <x:v>Puerta Acceso Motorhome de Aluminio C/Black Out y Mosquitero</x:v>
      </x:c>
      <x:c r="E259" s="8" t="str">
        <x:v>pm-18262.png</x:v>
      </x:c>
      <x:c r="F259" s="30"/>
      <x:c r="G259" s="34" t="n">
        <x:v>0</x:v>
      </x:c>
      <x:c r="H259" s="30"/>
      <x:c r="I259" s="32" t="str">
        <x:f>IF(H259&lt;&gt;"",H259,IF(F259="","",ROUND((F259*(1+Ajustes!$B$3/100)*(1+IFERROR(VLOOKUP(B259,Ajustes!$A$7:$B$24,2,FALSE),0)/100)*(1+G259/100))/Ajustes!$B$4,0)*Ajustes!$B$4))</x:f>
      </x:c>
      <x:c r="J259" t="n">
        <x:v>34</x:v>
      </x:c>
    </x:row>
    <x:row r="260">
      <x:c r="A260" t="str">
        <x:v>MP.17055.NE</x:v>
      </x:c>
      <x:c r="B260" t="str">
        <x:v>Aberturas</x:v>
      </x:c>
      <x:c r="C260" s="8" t="str">
        <x:v>Marcos para Puertas</x:v>
      </x:c>
      <x:c r="D260" s="8" t="str">
        <x:v>Marco P/Puerta - MARCO NEGRO</x:v>
      </x:c>
      <x:c r="E260" s="8" t="str">
        <x:v>mp-17055-ne.png</x:v>
      </x:c>
      <x:c r="F260" s="30"/>
      <x:c r="G260" s="34" t="n">
        <x:v>0</x:v>
      </x:c>
      <x:c r="H260" s="30"/>
      <x:c r="I260" s="32" t="str">
        <x:f>IF(H260&lt;&gt;"",H260,IF(F260="","",ROUND((F260*(1+Ajustes!$B$3/100)*(1+IFERROR(VLOOKUP(B260,Ajustes!$A$7:$B$24,2,FALSE),0)/100)*(1+G260/100))/Ajustes!$B$4,0)*Ajustes!$B$4))</x:f>
      </x:c>
      <x:c r="J260" t="n">
        <x:v>34</x:v>
      </x:c>
    </x:row>
    <x:row r="261">
      <x:c r="A261" t="str">
        <x:v>MP.17065.NE</x:v>
      </x:c>
      <x:c r="B261" t="str">
        <x:v>Aberturas</x:v>
      </x:c>
      <x:c r="C261" s="8" t="str">
        <x:v>Marcos para Puertas</x:v>
      </x:c>
      <x:c r="D261" s="8" t="str">
        <x:v>Marco P/Puerta - MARCO NEGRO</x:v>
      </x:c>
      <x:c r="E261" s="8" t="str">
        <x:v>mp-17065-ne.png</x:v>
      </x:c>
      <x:c r="F261" s="30"/>
      <x:c r="G261" s="34" t="n">
        <x:v>0</x:v>
      </x:c>
      <x:c r="H261" s="30"/>
      <x:c r="I261" s="32" t="str">
        <x:f>IF(H261&lt;&gt;"",H261,IF(F261="","",ROUND((F261*(1+Ajustes!$B$3/100)*(1+IFERROR(VLOOKUP(B261,Ajustes!$A$7:$B$24,2,FALSE),0)/100)*(1+G261/100))/Ajustes!$B$4,0)*Ajustes!$B$4))</x:f>
      </x:c>
      <x:c r="J261" t="n">
        <x:v>34</x:v>
      </x:c>
    </x:row>
    <x:row r="262">
      <x:c r="A262" t="str">
        <x:v>MP.17080.NE</x:v>
      </x:c>
      <x:c r="B262" t="str">
        <x:v>Aberturas</x:v>
      </x:c>
      <x:c r="C262" s="8" t="str">
        <x:v>Marcos para Puertas</x:v>
      </x:c>
      <x:c r="D262" s="8" t="str">
        <x:v>Marco P/Puerta - MARCO NEGRO</x:v>
      </x:c>
      <x:c r="E262" s="8" t="str">
        <x:v>mp-17080-ne.png</x:v>
      </x:c>
      <x:c r="F262" s="30"/>
      <x:c r="G262" s="34" t="n">
        <x:v>0</x:v>
      </x:c>
      <x:c r="H262" s="30"/>
      <x:c r="I262" s="32" t="str">
        <x:f>IF(H262&lt;&gt;"",H262,IF(F262="","",ROUND((F262*(1+Ajustes!$B$3/100)*(1+IFERROR(VLOOKUP(B262,Ajustes!$A$7:$B$24,2,FALSE),0)/100)*(1+G262/100))/Ajustes!$B$4,0)*Ajustes!$B$4))</x:f>
      </x:c>
      <x:c r="J262" t="n">
        <x:v>34</x:v>
      </x:c>
    </x:row>
    <x:row r="263">
      <x:c r="A263" t="str">
        <x:v>MP.17055.NA</x:v>
      </x:c>
      <x:c r="B263" t="str">
        <x:v>Aberturas</x:v>
      </x:c>
      <x:c r="C263" s="8" t="str">
        <x:v>Marcos para Puertas</x:v>
      </x:c>
      <x:c r="D263" s="8" t="str">
        <x:v>Marco P/Puerta - MARCO NATURAL</x:v>
      </x:c>
      <x:c r="E263" s="8" t="str">
        <x:v>mp-17055-na.png</x:v>
      </x:c>
      <x:c r="F263" s="30"/>
      <x:c r="G263" s="34" t="n">
        <x:v>0</x:v>
      </x:c>
      <x:c r="H263" s="30"/>
      <x:c r="I263" s="32" t="str">
        <x:f>IF(H263&lt;&gt;"",H263,IF(F263="","",ROUND((F263*(1+Ajustes!$B$3/100)*(1+IFERROR(VLOOKUP(B263,Ajustes!$A$7:$B$24,2,FALSE),0)/100)*(1+G263/100))/Ajustes!$B$4,0)*Ajustes!$B$4))</x:f>
      </x:c>
      <x:c r="J263" t="n">
        <x:v>34</x:v>
      </x:c>
    </x:row>
    <x:row r="264">
      <x:c r="A264" t="str">
        <x:v>MP.17065.NA</x:v>
      </x:c>
      <x:c r="B264" t="str">
        <x:v>Aberturas</x:v>
      </x:c>
      <x:c r="C264" s="8" t="str">
        <x:v>Marcos para Puertas</x:v>
      </x:c>
      <x:c r="D264" s="8" t="str">
        <x:v>Marco P/Puerta - MARCO NATURAL</x:v>
      </x:c>
      <x:c r="E264" s="8" t="str">
        <x:v>mp-17065-na.png</x:v>
      </x:c>
      <x:c r="F264" s="30"/>
      <x:c r="G264" s="34" t="n">
        <x:v>0</x:v>
      </x:c>
      <x:c r="H264" s="30"/>
      <x:c r="I264" s="32" t="str">
        <x:f>IF(H264&lt;&gt;"",H264,IF(F264="","",ROUND((F264*(1+Ajustes!$B$3/100)*(1+IFERROR(VLOOKUP(B264,Ajustes!$A$7:$B$24,2,FALSE),0)/100)*(1+G264/100))/Ajustes!$B$4,0)*Ajustes!$B$4))</x:f>
      </x:c>
      <x:c r="J264" t="n">
        <x:v>35</x:v>
      </x:c>
    </x:row>
    <x:row r="265">
      <x:c r="A265" t="str">
        <x:v>MP.17080.NA</x:v>
      </x:c>
      <x:c r="B265" t="str">
        <x:v>Aberturas</x:v>
      </x:c>
      <x:c r="C265" s="8" t="str">
        <x:v>Marcos para Puertas</x:v>
      </x:c>
      <x:c r="D265" s="8" t="str">
        <x:v>Marco P/Puerta - MARCO NATURAL</x:v>
      </x:c>
      <x:c r="E265" s="8" t="str">
        <x:v>mp-17080-na.png</x:v>
      </x:c>
      <x:c r="F265" s="30"/>
      <x:c r="G265" s="34" t="n">
        <x:v>0</x:v>
      </x:c>
      <x:c r="H265" s="30"/>
      <x:c r="I265" s="32" t="str">
        <x:f>IF(H265&lt;&gt;"",H265,IF(F265="","",ROUND((F265*(1+Ajustes!$B$3/100)*(1+IFERROR(VLOOKUP(B265,Ajustes!$A$7:$B$24,2,FALSE),0)/100)*(1+G265/100))/Ajustes!$B$4,0)*Ajustes!$B$4))</x:f>
      </x:c>
      <x:c r="J265" t="n">
        <x:v>35</x:v>
      </x:c>
    </x:row>
    <x:row r="266">
      <x:c r="A266" t="str">
        <x:v>PB.4545</x:v>
      </x:c>
      <x:c r="B266" t="str">
        <x:v>Aberturas</x:v>
      </x:c>
      <x:c r="C266" s="8" t="str">
        <x:v>Puertas Bauleras</x:v>
      </x:c>
      <x:c r="D266" s="8" t="str">
        <x:v>Puerta Para Baulera C/llave</x:v>
      </x:c>
      <x:c r="E266" s="8" t="str">
        <x:v>pb-4545.png</x:v>
      </x:c>
      <x:c r="F266" s="30"/>
      <x:c r="G266" s="34" t="n">
        <x:v>0</x:v>
      </x:c>
      <x:c r="H266" s="30"/>
      <x:c r="I266" s="32" t="str">
        <x:f>IF(H266&lt;&gt;"",H266,IF(F266="","",ROUND((F266*(1+Ajustes!$B$3/100)*(1+IFERROR(VLOOKUP(B266,Ajustes!$A$7:$B$24,2,FALSE),0)/100)*(1+G266/100))/Ajustes!$B$4,0)*Ajustes!$B$4))</x:f>
      </x:c>
      <x:c r="J266" t="n">
        <x:v>35</x:v>
      </x:c>
    </x:row>
    <x:row r="267">
      <x:c r="A267" t="str">
        <x:v>PB.6045</x:v>
      </x:c>
      <x:c r="B267" t="str">
        <x:v>Aberturas</x:v>
      </x:c>
      <x:c r="C267" s="8" t="str">
        <x:v>Puertas Bauleras</x:v>
      </x:c>
      <x:c r="D267" s="8" t="str">
        <x:v>Puerta Para Baulera C/llave</x:v>
      </x:c>
      <x:c r="E267" s="8" t="str">
        <x:v>pb-6045.png</x:v>
      </x:c>
      <x:c r="F267" s="30"/>
      <x:c r="G267" s="34" t="n">
        <x:v>0</x:v>
      </x:c>
      <x:c r="H267" s="30"/>
      <x:c r="I267" s="32" t="str">
        <x:f>IF(H267&lt;&gt;"",H267,IF(F267="","",ROUND((F267*(1+Ajustes!$B$3/100)*(1+IFERROR(VLOOKUP(B267,Ajustes!$A$7:$B$24,2,FALSE),0)/100)*(1+G267/100))/Ajustes!$B$4,0)*Ajustes!$B$4))</x:f>
      </x:c>
      <x:c r="J267" t="n">
        <x:v>35</x:v>
      </x:c>
    </x:row>
    <x:row r="268">
      <x:c r="A268" t="str">
        <x:v>PB.8045</x:v>
      </x:c>
      <x:c r="B268" t="str">
        <x:v>Aberturas</x:v>
      </x:c>
      <x:c r="C268" s="8" t="str">
        <x:v>Puertas Bauleras</x:v>
      </x:c>
      <x:c r="D268" s="8" t="str">
        <x:v>Puerta Para Baulera C/llave</x:v>
      </x:c>
      <x:c r="E268" s="8" t="str">
        <x:v>pb-8045.png</x:v>
      </x:c>
      <x:c r="F268" s="30"/>
      <x:c r="G268" s="34" t="n">
        <x:v>0</x:v>
      </x:c>
      <x:c r="H268" s="30"/>
      <x:c r="I268" s="32" t="str">
        <x:f>IF(H268&lt;&gt;"",H268,IF(F268="","",ROUND((F268*(1+Ajustes!$B$3/100)*(1+IFERROR(VLOOKUP(B268,Ajustes!$A$7:$B$24,2,FALSE),0)/100)*(1+G268/100))/Ajustes!$B$4,0)*Ajustes!$B$4))</x:f>
      </x:c>
      <x:c r="J268" t="n">
        <x:v>35</x:v>
      </x:c>
    </x:row>
    <x:row r="269">
      <x:c r="A269" t="str">
        <x:v>PB.8060</x:v>
      </x:c>
      <x:c r="B269" t="str">
        <x:v>Aberturas</x:v>
      </x:c>
      <x:c r="C269" s="8" t="str">
        <x:v>Puertas Bauleras</x:v>
      </x:c>
      <x:c r="D269" s="8" t="str">
        <x:v>Puerta Para Baulera C/llave</x:v>
      </x:c>
      <x:c r="E269" s="8" t="str">
        <x:v>pb-8060.png</x:v>
      </x:c>
      <x:c r="F269" s="30"/>
      <x:c r="G269" s="34" t="n">
        <x:v>0</x:v>
      </x:c>
      <x:c r="H269" s="30"/>
      <x:c r="I269" s="32" t="str">
        <x:f>IF(H269&lt;&gt;"",H269,IF(F269="","",ROUND((F269*(1+Ajustes!$B$3/100)*(1+IFERROR(VLOOKUP(B269,Ajustes!$A$7:$B$24,2,FALSE),0)/100)*(1+G269/100))/Ajustes!$B$4,0)*Ajustes!$B$4))</x:f>
      </x:c>
      <x:c r="J269" t="n">
        <x:v>35</x:v>
      </x:c>
    </x:row>
    <x:row r="270">
      <x:c r="A270" t="str">
        <x:v>MB.7088.NE</x:v>
      </x:c>
      <x:c r="B270" t="str">
        <x:v>Aberturas</x:v>
      </x:c>
      <x:c r="C270" s="8" t="str">
        <x:v>Marco Bauleras</x:v>
      </x:c>
      <x:c r="D270" s="8" t="str">
        <x:v>Marco P/Baulera - MARCO NEGRO</x:v>
      </x:c>
      <x:c r="E270" s="8" t="str">
        <x:v>mb-7088-ne.png</x:v>
      </x:c>
      <x:c r="F270" s="30"/>
      <x:c r="G270" s="34" t="n">
        <x:v>0</x:v>
      </x:c>
      <x:c r="H270" s="30"/>
      <x:c r="I270" s="32" t="str">
        <x:f>IF(H270&lt;&gt;"",H270,IF(F270="","",ROUND((F270*(1+Ajustes!$B$3/100)*(1+IFERROR(VLOOKUP(B270,Ajustes!$A$7:$B$24,2,FALSE),0)/100)*(1+G270/100))/Ajustes!$B$4,0)*Ajustes!$B$4))</x:f>
      </x:c>
      <x:c r="J270" t="n">
        <x:v>35</x:v>
      </x:c>
    </x:row>
    <x:row r="271">
      <x:c r="A271" t="str">
        <x:v>MB.8040.NE</x:v>
      </x:c>
      <x:c r="B271" t="str">
        <x:v>Aberturas</x:v>
      </x:c>
      <x:c r="C271" s="8" t="str">
        <x:v>Marco Bauleras</x:v>
      </x:c>
      <x:c r="D271" s="8" t="str">
        <x:v>Marco P/Baulera - MARCO NEGRO</x:v>
      </x:c>
      <x:c r="E271" s="8" t="str">
        <x:v>mb-8040-ne.png</x:v>
      </x:c>
      <x:c r="F271" s="30"/>
      <x:c r="G271" s="34" t="n">
        <x:v>0</x:v>
      </x:c>
      <x:c r="H271" s="30"/>
      <x:c r="I271" s="32" t="str">
        <x:f>IF(H271&lt;&gt;"",H271,IF(F271="","",ROUND((F271*(1+Ajustes!$B$3/100)*(1+IFERROR(VLOOKUP(B271,Ajustes!$A$7:$B$24,2,FALSE),0)/100)*(1+G271/100))/Ajustes!$B$4,0)*Ajustes!$B$4))</x:f>
      </x:c>
      <x:c r="J271" t="n">
        <x:v>36</x:v>
      </x:c>
    </x:row>
    <x:row r="272">
      <x:c r="A272" t="str">
        <x:v>MB.5040.NE</x:v>
      </x:c>
      <x:c r="B272" t="str">
        <x:v>Aberturas</x:v>
      </x:c>
      <x:c r="C272" s="8" t="str">
        <x:v>Marco Bauleras</x:v>
      </x:c>
      <x:c r="D272" s="8" t="str">
        <x:v>Marco P/Baulera - MARCO NEGRO</x:v>
      </x:c>
      <x:c r="E272" s="8" t="str">
        <x:v>mb-5040-ne.png</x:v>
      </x:c>
      <x:c r="F272" s="30"/>
      <x:c r="G272" s="34" t="n">
        <x:v>0</x:v>
      </x:c>
      <x:c r="H272" s="30"/>
      <x:c r="I272" s="32" t="str">
        <x:f>IF(H272&lt;&gt;"",H272,IF(F272="","",ROUND((F272*(1+Ajustes!$B$3/100)*(1+IFERROR(VLOOKUP(B272,Ajustes!$A$7:$B$24,2,FALSE),0)/100)*(1+G272/100))/Ajustes!$B$4,0)*Ajustes!$B$4))</x:f>
      </x:c>
      <x:c r="J272" t="n">
        <x:v>36</x:v>
      </x:c>
    </x:row>
    <x:row r="273">
      <x:c r="A273" t="str">
        <x:v>MB.7088.NA</x:v>
      </x:c>
      <x:c r="B273" t="str">
        <x:v>Aberturas</x:v>
      </x:c>
      <x:c r="C273" s="8" t="str">
        <x:v>Marco Bauleras</x:v>
      </x:c>
      <x:c r="D273" s="8" t="str">
        <x:v>Marco P/Baulera - MARCO NATURAL</x:v>
      </x:c>
      <x:c r="E273" s="8" t="str">
        <x:v>mb-7088-na.png</x:v>
      </x:c>
      <x:c r="F273" s="30"/>
      <x:c r="G273" s="34" t="n">
        <x:v>0</x:v>
      </x:c>
      <x:c r="H273" s="30"/>
      <x:c r="I273" s="32" t="str">
        <x:f>IF(H273&lt;&gt;"",H273,IF(F273="","",ROUND((F273*(1+Ajustes!$B$3/100)*(1+IFERROR(VLOOKUP(B273,Ajustes!$A$7:$B$24,2,FALSE),0)/100)*(1+G273/100))/Ajustes!$B$4,0)*Ajustes!$B$4))</x:f>
      </x:c>
      <x:c r="J273" t="n">
        <x:v>36</x:v>
      </x:c>
    </x:row>
    <x:row r="274">
      <x:c r="A274" t="str">
        <x:v>MB.8040.NA</x:v>
      </x:c>
      <x:c r="B274" t="str">
        <x:v>Aberturas</x:v>
      </x:c>
      <x:c r="C274" s="8" t="str">
        <x:v>Marco Bauleras</x:v>
      </x:c>
      <x:c r="D274" s="8" t="str">
        <x:v>Marco P/Baulera - MARCO NATURAL</x:v>
      </x:c>
      <x:c r="E274" s="8" t="str">
        <x:v>mb-8040-na.png</x:v>
      </x:c>
      <x:c r="F274" s="30"/>
      <x:c r="G274" s="34" t="n">
        <x:v>0</x:v>
      </x:c>
      <x:c r="H274" s="30"/>
      <x:c r="I274" s="32" t="str">
        <x:f>IF(H274&lt;&gt;"",H274,IF(F274="","",ROUND((F274*(1+Ajustes!$B$3/100)*(1+IFERROR(VLOOKUP(B274,Ajustes!$A$7:$B$24,2,FALSE),0)/100)*(1+G274/100))/Ajustes!$B$4,0)*Ajustes!$B$4))</x:f>
      </x:c>
      <x:c r="J274" t="n">
        <x:v>36</x:v>
      </x:c>
    </x:row>
    <x:row r="275">
      <x:c r="A275" t="str">
        <x:v>MB.5040.NA</x:v>
      </x:c>
      <x:c r="B275" t="str">
        <x:v>Aberturas</x:v>
      </x:c>
      <x:c r="C275" s="8" t="str">
        <x:v>Marco Bauleras</x:v>
      </x:c>
      <x:c r="D275" s="8" t="str">
        <x:v>Marco P/Baulera - MARCO NATURAL</x:v>
      </x:c>
      <x:c r="E275" s="8" t="str">
        <x:v>mb-5040-na.png</x:v>
      </x:c>
      <x:c r="F275" s="30"/>
      <x:c r="G275" s="34" t="n">
        <x:v>0</x:v>
      </x:c>
      <x:c r="H275" s="30"/>
      <x:c r="I275" s="32" t="str">
        <x:f>IF(H275&lt;&gt;"",H275,IF(F275="","",ROUND((F275*(1+Ajustes!$B$3/100)*(1+IFERROR(VLOOKUP(B275,Ajustes!$A$7:$B$24,2,FALSE),0)/100)*(1+G275/100))/Ajustes!$B$4,0)*Ajustes!$B$4))</x:f>
      </x:c>
      <x:c r="J275" t="n">
        <x:v>36</x:v>
      </x:c>
    </x:row>
    <x:row r="276">
      <x:c r="A276" t="str">
        <x:v>VLA.2838</x:v>
      </x:c>
      <x:c r="B276" t="str">
        <x:v>Aberturas</x:v>
      </x:c>
      <x:c r="C276" s="8" t="str">
        <x:v>Ventanas de Doble Acrilico - Planas</x:v>
      </x:c>
      <x:c r="D276" s="8" t="str">
        <x:v>Ventana Levadiza de Acrilico Plana</x:v>
      </x:c>
      <x:c r="E276" s="8" t="str">
        <x:v>vla-2838.png</x:v>
      </x:c>
      <x:c r="F276" s="30"/>
      <x:c r="G276" s="34" t="n">
        <x:v>0</x:v>
      </x:c>
      <x:c r="H276" s="30"/>
      <x:c r="I276" s="32" t="str">
        <x:f>IF(H276&lt;&gt;"",H276,IF(F276="","",ROUND((F276*(1+Ajustes!$B$3/100)*(1+IFERROR(VLOOKUP(B276,Ajustes!$A$7:$B$24,2,FALSE),0)/100)*(1+G276/100))/Ajustes!$B$4,0)*Ajustes!$B$4))</x:f>
      </x:c>
      <x:c r="J276" t="n">
        <x:v>36</x:v>
      </x:c>
    </x:row>
    <x:row r="277">
      <x:c r="A277" t="str">
        <x:v>VLA.3550</x:v>
      </x:c>
      <x:c r="B277" t="str">
        <x:v>Aberturas</x:v>
      </x:c>
      <x:c r="C277" s="8" t="str">
        <x:v>Ventanas de Doble Acrilico - Planas</x:v>
      </x:c>
      <x:c r="D277" s="8" t="str">
        <x:v>Ventana Levadiza de Acrilico Plana</x:v>
      </x:c>
      <x:c r="E277" s="8" t="str">
        <x:v>vla-3550.png</x:v>
      </x:c>
      <x:c r="F277" s="30"/>
      <x:c r="G277" s="34" t="n">
        <x:v>0</x:v>
      </x:c>
      <x:c r="H277" s="30"/>
      <x:c r="I277" s="32" t="str">
        <x:f>IF(H277&lt;&gt;"",H277,IF(F277="","",ROUND((F277*(1+Ajustes!$B$3/100)*(1+IFERROR(VLOOKUP(B277,Ajustes!$A$7:$B$24,2,FALSE),0)/100)*(1+G277/100))/Ajustes!$B$4,0)*Ajustes!$B$4))</x:f>
      </x:c>
      <x:c r="J277" t="n">
        <x:v>36</x:v>
      </x:c>
    </x:row>
    <x:row r="278">
      <x:c r="A278" t="str">
        <x:v>VLA.5030</x:v>
      </x:c>
      <x:c r="B278" t="str">
        <x:v>Aberturas</x:v>
      </x:c>
      <x:c r="C278" s="8" t="str">
        <x:v>Ventanas de Doble Acrilico - Planas</x:v>
      </x:c>
      <x:c r="D278" s="8" t="str">
        <x:v>Ventana Levadiza de Acrilico Plana</x:v>
      </x:c>
      <x:c r="E278" s="8" t="str">
        <x:v>vla-5030.png</x:v>
      </x:c>
      <x:c r="F278" s="30"/>
      <x:c r="G278" s="34" t="n">
        <x:v>0</x:v>
      </x:c>
      <x:c r="H278" s="30"/>
      <x:c r="I278" s="32" t="str">
        <x:f>IF(H278&lt;&gt;"",H278,IF(F278="","",ROUND((F278*(1+Ajustes!$B$3/100)*(1+IFERROR(VLOOKUP(B278,Ajustes!$A$7:$B$24,2,FALSE),0)/100)*(1+G278/100))/Ajustes!$B$4,0)*Ajustes!$B$4))</x:f>
      </x:c>
      <x:c r="J278" t="n">
        <x:v>36</x:v>
      </x:c>
    </x:row>
    <x:row r="279">
      <x:c r="A279" t="str">
        <x:v>VLA.6145</x:v>
      </x:c>
      <x:c r="B279" t="str">
        <x:v>Aberturas</x:v>
      </x:c>
      <x:c r="C279" s="8" t="str">
        <x:v>Ventanas de Doble Acrilico - Planas</x:v>
      </x:c>
      <x:c r="D279" s="8" t="str">
        <x:v>Ventana Levadiza de Acrilico Plana</x:v>
      </x:c>
      <x:c r="E279" s="8" t="str">
        <x:v>vla-6145.png</x:v>
      </x:c>
      <x:c r="F279" s="30"/>
      <x:c r="G279" s="34" t="n">
        <x:v>0</x:v>
      </x:c>
      <x:c r="H279" s="30"/>
      <x:c r="I279" s="32" t="str">
        <x:f>IF(H279&lt;&gt;"",H279,IF(F279="","",ROUND((F279*(1+Ajustes!$B$3/100)*(1+IFERROR(VLOOKUP(B279,Ajustes!$A$7:$B$24,2,FALSE),0)/100)*(1+G279/100))/Ajustes!$B$4,0)*Ajustes!$B$4))</x:f>
      </x:c>
      <x:c r="J279" t="n">
        <x:v>37</x:v>
      </x:c>
    </x:row>
    <x:row r="280">
      <x:c r="A280" t="str">
        <x:v>VLA.7035</x:v>
      </x:c>
      <x:c r="B280" t="str">
        <x:v>Aberturas</x:v>
      </x:c>
      <x:c r="C280" s="8" t="str">
        <x:v>Ventanas de Doble Acrilico - Planas</x:v>
      </x:c>
      <x:c r="D280" s="8" t="str">
        <x:v>Ventana Levadiza de Acrilico Plana</x:v>
      </x:c>
      <x:c r="E280" s="8" t="str">
        <x:v>vla-7035.png</x:v>
      </x:c>
      <x:c r="F280" s="30"/>
      <x:c r="G280" s="34" t="n">
        <x:v>0</x:v>
      </x:c>
      <x:c r="H280" s="30"/>
      <x:c r="I280" s="32" t="str">
        <x:f>IF(H280&lt;&gt;"",H280,IF(F280="","",ROUND((F280*(1+Ajustes!$B$3/100)*(1+IFERROR(VLOOKUP(B280,Ajustes!$A$7:$B$24,2,FALSE),0)/100)*(1+G280/100))/Ajustes!$B$4,0)*Ajustes!$B$4))</x:f>
      </x:c>
      <x:c r="J280" t="n">
        <x:v>37</x:v>
      </x:c>
    </x:row>
    <x:row r="281">
      <x:c r="A281" t="str">
        <x:v>VLA.7045</x:v>
      </x:c>
      <x:c r="B281" t="str">
        <x:v>Aberturas</x:v>
      </x:c>
      <x:c r="C281" s="8" t="str">
        <x:v>Ventanas de Doble Acrilico - Planas</x:v>
      </x:c>
      <x:c r="D281" s="8" t="str">
        <x:v>Ventana Levadiza de Acrilico Plana</x:v>
      </x:c>
      <x:c r="E281" s="8" t="str">
        <x:v>vla-7045.png</x:v>
      </x:c>
      <x:c r="F281" s="30"/>
      <x:c r="G281" s="34" t="n">
        <x:v>0</x:v>
      </x:c>
      <x:c r="H281" s="30"/>
      <x:c r="I281" s="32" t="str">
        <x:f>IF(H281&lt;&gt;"",H281,IF(F281="","",ROUND((F281*(1+Ajustes!$B$3/100)*(1+IFERROR(VLOOKUP(B281,Ajustes!$A$7:$B$24,2,FALSE),0)/100)*(1+G281/100))/Ajustes!$B$4,0)*Ajustes!$B$4))</x:f>
      </x:c>
      <x:c r="J281" t="n">
        <x:v>37</x:v>
      </x:c>
    </x:row>
    <x:row r="282">
      <x:c r="A282" t="str">
        <x:v>VLA.8040</x:v>
      </x:c>
      <x:c r="B282" t="str">
        <x:v>Aberturas</x:v>
      </x:c>
      <x:c r="C282" s="8" t="str">
        <x:v>Ventanas de Doble Acrilico - Planas</x:v>
      </x:c>
      <x:c r="D282" s="8" t="str">
        <x:v>Ventana Levadiza de Acrilico Plana</x:v>
      </x:c>
      <x:c r="E282" s="8" t="str">
        <x:v>vla-8040.png</x:v>
      </x:c>
      <x:c r="F282" s="30"/>
      <x:c r="G282" s="34" t="n">
        <x:v>0</x:v>
      </x:c>
      <x:c r="H282" s="30"/>
      <x:c r="I282" s="32" t="str">
        <x:f>IF(H282&lt;&gt;"",H282,IF(F282="","",ROUND((F282*(1+Ajustes!$B$3/100)*(1+IFERROR(VLOOKUP(B282,Ajustes!$A$7:$B$24,2,FALSE),0)/100)*(1+G282/100))/Ajustes!$B$4,0)*Ajustes!$B$4))</x:f>
      </x:c>
      <x:c r="J282" t="n">
        <x:v>37</x:v>
      </x:c>
    </x:row>
    <x:row r="283">
      <x:c r="A283" t="str">
        <x:v>VLA.10050</x:v>
      </x:c>
      <x:c r="B283" t="str">
        <x:v>Aberturas</x:v>
      </x:c>
      <x:c r="C283" s="8" t="str">
        <x:v>Ventanas de Doble Acrilico - Planas</x:v>
      </x:c>
      <x:c r="D283" s="8" t="str">
        <x:v>Ventana Levadiza de Acrilico Plana</x:v>
      </x:c>
      <x:c r="E283" s="8" t="str">
        <x:v>vla-10050.png</x:v>
      </x:c>
      <x:c r="F283" s="30"/>
      <x:c r="G283" s="34" t="n">
        <x:v>0</x:v>
      </x:c>
      <x:c r="H283" s="30"/>
      <x:c r="I283" s="32" t="str">
        <x:f>IF(H283&lt;&gt;"",H283,IF(F283="","",ROUND((F283*(1+Ajustes!$B$3/100)*(1+IFERROR(VLOOKUP(B283,Ajustes!$A$7:$B$24,2,FALSE),0)/100)*(1+G283/100))/Ajustes!$B$4,0)*Ajustes!$B$4))</x:f>
      </x:c>
      <x:c r="J283" t="n">
        <x:v>37</x:v>
      </x:c>
    </x:row>
    <x:row r="284">
      <x:c r="A284" t="str">
        <x:v>VLA.7040.B</x:v>
      </x:c>
      <x:c r="B284" t="str">
        <x:v>Aberturas</x:v>
      </x:c>
      <x:c r="C284" s="8" t="str">
        <x:v>Ventanas de Doble Acrilico - Planas Tipo Burbuja</x:v>
      </x:c>
      <x:c r="D284" s="8" t="str">
        <x:v>Ventana de Acrlico</x:v>
      </x:c>
      <x:c r="E284" s="8" t="str">
        <x:v>vla-7040-b.png</x:v>
      </x:c>
      <x:c r="F284" s="30"/>
      <x:c r="G284" s="34" t="n">
        <x:v>0</x:v>
      </x:c>
      <x:c r="H284" s="30"/>
      <x:c r="I284" s="32" t="str">
        <x:f>IF(H284&lt;&gt;"",H284,IF(F284="","",ROUND((F284*(1+Ajustes!$B$3/100)*(1+IFERROR(VLOOKUP(B284,Ajustes!$A$7:$B$24,2,FALSE),0)/100)*(1+G284/100))/Ajustes!$B$4,0)*Ajustes!$B$4))</x:f>
      </x:c>
      <x:c r="J284" t="n">
        <x:v>37</x:v>
      </x:c>
    </x:row>
    <x:row r="285">
      <x:c r="A285" t="str">
        <x:v>VLC.2838</x:v>
      </x:c>
      <x:c r="B285" t="str">
        <x:v>Aberturas</x:v>
      </x:c>
      <x:c r="C285" s="8" t="str">
        <x:v>Ventanas de Doble Acrilico - Curvas</x:v>
      </x:c>
      <x:c r="D285" s="8" t="str">
        <x:v>Ventana Levadiza de Acrilico Curva</x:v>
      </x:c>
      <x:c r="E285" s="8" t="str">
        <x:v>vlc-2838.png</x:v>
      </x:c>
      <x:c r="F285" s="30"/>
      <x:c r="G285" s="34" t="n">
        <x:v>0</x:v>
      </x:c>
      <x:c r="H285" s="30"/>
      <x:c r="I285" s="32" t="str">
        <x:f>IF(H285&lt;&gt;"",H285,IF(F285="","",ROUND((F285*(1+Ajustes!$B$3/100)*(1+IFERROR(VLOOKUP(B285,Ajustes!$A$7:$B$24,2,FALSE),0)/100)*(1+G285/100))/Ajustes!$B$4,0)*Ajustes!$B$4))</x:f>
      </x:c>
      <x:c r="J285" t="n">
        <x:v>37</x:v>
      </x:c>
    </x:row>
    <x:row r="286">
      <x:c r="A286" t="str">
        <x:v>VLC.8131</x:v>
      </x:c>
      <x:c r="B286" t="str">
        <x:v>Aberturas</x:v>
      </x:c>
      <x:c r="C286" s="8" t="str">
        <x:v>Ventanas de Doble Acrilico - Curvas</x:v>
      </x:c>
      <x:c r="D286" s="8" t="str">
        <x:v>Ventana Levadiza de Acrilico Curva</x:v>
      </x:c>
      <x:c r="E286" s="8" t="str">
        <x:v>vlc-8131.png</x:v>
      </x:c>
      <x:c r="F286" s="30"/>
      <x:c r="G286" s="34" t="n">
        <x:v>0</x:v>
      </x:c>
      <x:c r="H286" s="30"/>
      <x:c r="I286" s="32" t="str">
        <x:f>IF(H286&lt;&gt;"",H286,IF(F286="","",ROUND((F286*(1+Ajustes!$B$3/100)*(1+IFERROR(VLOOKUP(B286,Ajustes!$A$7:$B$24,2,FALSE),0)/100)*(1+G286/100))/Ajustes!$B$4,0)*Ajustes!$B$4))</x:f>
      </x:c>
      <x:c r="J286" t="n">
        <x:v>37</x:v>
      </x:c>
    </x:row>
    <x:row r="287">
      <x:c r="A287" t="str">
        <x:v>VLC.9846</x:v>
      </x:c>
      <x:c r="B287" t="str">
        <x:v>Aberturas</x:v>
      </x:c>
      <x:c r="C287" s="8" t="str">
        <x:v>Ventanas de Doble Acrilico - Curvas</x:v>
      </x:c>
      <x:c r="D287" s="8" t="str">
        <x:v>Ventana Levadiza de Acrilico Curva</x:v>
      </x:c>
      <x:c r="E287" s="8" t="str">
        <x:v>vlc-9846.png</x:v>
      </x:c>
      <x:c r="F287" s="30"/>
      <x:c r="G287" s="34" t="n">
        <x:v>0</x:v>
      </x:c>
      <x:c r="H287" s="30"/>
      <x:c r="I287" s="32" t="str">
        <x:f>IF(H287&lt;&gt;"",H287,IF(F287="","",ROUND((F287*(1+Ajustes!$B$3/100)*(1+IFERROR(VLOOKUP(B287,Ajustes!$A$7:$B$24,2,FALSE),0)/100)*(1+G287/100))/Ajustes!$B$4,0)*Ajustes!$B$4))</x:f>
      </x:c>
      <x:c r="J287" t="n">
        <x:v>38</x:v>
      </x:c>
    </x:row>
    <x:row r="288">
      <x:c r="A288" t="str">
        <x:v>VL.4030.P</x:v>
      </x:c>
      <x:c r="B288" t="str">
        <x:v>Aberturas</x:v>
      </x:c>
      <x:c r="C288" s="8" t="str">
        <x:v>Ventanas Levadizas Plus</x:v>
      </x:c>
      <x:c r="D288" s="8" t="str">
        <x:v>Ventana Levadiza Plus</x:v>
      </x:c>
      <x:c r="E288" s="8" t="str">
        <x:v>vl-4030-p.png</x:v>
      </x:c>
      <x:c r="F288" s="30"/>
      <x:c r="G288" s="34" t="n">
        <x:v>0</x:v>
      </x:c>
      <x:c r="H288" s="30"/>
      <x:c r="I288" s="32" t="str">
        <x:f>IF(H288&lt;&gt;"",H288,IF(F288="","",ROUND((F288*(1+Ajustes!$B$3/100)*(1+IFERROR(VLOOKUP(B288,Ajustes!$A$7:$B$24,2,FALSE),0)/100)*(1+G288/100))/Ajustes!$B$4,0)*Ajustes!$B$4))</x:f>
      </x:c>
      <x:c r="J288" t="n">
        <x:v>38</x:v>
      </x:c>
    </x:row>
    <x:row r="289">
      <x:c r="A289" t="str">
        <x:v>VL.6030.P</x:v>
      </x:c>
      <x:c r="B289" t="str">
        <x:v>Aberturas</x:v>
      </x:c>
      <x:c r="C289" s="8" t="str">
        <x:v>Ventanas Levadizas Plus</x:v>
      </x:c>
      <x:c r="D289" s="8" t="str">
        <x:v>Ventana Levadiza Plus</x:v>
      </x:c>
      <x:c r="E289" s="8" t="str">
        <x:v>vl-6030-p.png</x:v>
      </x:c>
      <x:c r="F289" s="30"/>
      <x:c r="G289" s="34" t="n">
        <x:v>0</x:v>
      </x:c>
      <x:c r="H289" s="30"/>
      <x:c r="I289" s="32" t="str">
        <x:f>IF(H289&lt;&gt;"",H289,IF(F289="","",ROUND((F289*(1+Ajustes!$B$3/100)*(1+IFERROR(VLOOKUP(B289,Ajustes!$A$7:$B$24,2,FALSE),0)/100)*(1+G289/100))/Ajustes!$B$4,0)*Ajustes!$B$4))</x:f>
      </x:c>
      <x:c r="J289" t="n">
        <x:v>38</x:v>
      </x:c>
    </x:row>
    <x:row r="290">
      <x:c r="A290" t="str">
        <x:v>VL.6040.P</x:v>
      </x:c>
      <x:c r="B290" t="str">
        <x:v>Aberturas</x:v>
      </x:c>
      <x:c r="C290" s="8" t="str">
        <x:v>Ventanas Levadizas Plus</x:v>
      </x:c>
      <x:c r="D290" s="8" t="str">
        <x:v>Ventana Levadiza Plus</x:v>
      </x:c>
      <x:c r="E290" s="8" t="str">
        <x:v>vl-6040-p.png</x:v>
      </x:c>
      <x:c r="F290" s="30"/>
      <x:c r="G290" s="34" t="n">
        <x:v>0</x:v>
      </x:c>
      <x:c r="H290" s="30"/>
      <x:c r="I290" s="32" t="str">
        <x:f>IF(H290&lt;&gt;"",H290,IF(F290="","",ROUND((F290*(1+Ajustes!$B$3/100)*(1+IFERROR(VLOOKUP(B290,Ajustes!$A$7:$B$24,2,FALSE),0)/100)*(1+G290/100))/Ajustes!$B$4,0)*Ajustes!$B$4))</x:f>
      </x:c>
      <x:c r="J290" t="n">
        <x:v>38</x:v>
      </x:c>
    </x:row>
    <x:row r="291">
      <x:c r="A291" t="str">
        <x:v>VL.5050.P</x:v>
      </x:c>
      <x:c r="B291" t="str">
        <x:v>Aberturas</x:v>
      </x:c>
      <x:c r="C291" s="8" t="str">
        <x:v>Ventanas Levadizas Plus</x:v>
      </x:c>
      <x:c r="D291" s="8" t="str">
        <x:v>Ventana Levadiza Plus</x:v>
      </x:c>
      <x:c r="E291" s="8" t="str">
        <x:v>vl-5050-p.png</x:v>
      </x:c>
      <x:c r="F291" s="30"/>
      <x:c r="G291" s="34" t="n">
        <x:v>0</x:v>
      </x:c>
      <x:c r="H291" s="30"/>
      <x:c r="I291" s="32" t="str">
        <x:f>IF(H291&lt;&gt;"",H291,IF(F291="","",ROUND((F291*(1+Ajustes!$B$3/100)*(1+IFERROR(VLOOKUP(B291,Ajustes!$A$7:$B$24,2,FALSE),0)/100)*(1+G291/100))/Ajustes!$B$4,0)*Ajustes!$B$4))</x:f>
      </x:c>
      <x:c r="J291" t="n">
        <x:v>38</x:v>
      </x:c>
    </x:row>
    <x:row r="292">
      <x:c r="A292" t="str">
        <x:v>VL.8050.P</x:v>
      </x:c>
      <x:c r="B292" t="str">
        <x:v>Aberturas</x:v>
      </x:c>
      <x:c r="C292" s="8" t="str">
        <x:v>Ventanas Levadizas Plus</x:v>
      </x:c>
      <x:c r="D292" s="8" t="str">
        <x:v>Ventana Levadiza Plus</x:v>
      </x:c>
      <x:c r="E292" s="8" t="str">
        <x:v>vl-8050-p.png</x:v>
      </x:c>
      <x:c r="F292" s="30"/>
      <x:c r="G292" s="34" t="n">
        <x:v>0</x:v>
      </x:c>
      <x:c r="H292" s="30"/>
      <x:c r="I292" s="32" t="str">
        <x:f>IF(H292&lt;&gt;"",H292,IF(F292="","",ROUND((F292*(1+Ajustes!$B$3/100)*(1+IFERROR(VLOOKUP(B292,Ajustes!$A$7:$B$24,2,FALSE),0)/100)*(1+G292/100))/Ajustes!$B$4,0)*Ajustes!$B$4))</x:f>
      </x:c>
      <x:c r="J292" t="n">
        <x:v>38</x:v>
      </x:c>
    </x:row>
    <x:row r="293">
      <x:c r="A293" t="str">
        <x:v>VL.10050.P</x:v>
      </x:c>
      <x:c r="B293" t="str">
        <x:v>Aberturas</x:v>
      </x:c>
      <x:c r="C293" s="8" t="str">
        <x:v>Ventanas Levadizas Plus</x:v>
      </x:c>
      <x:c r="D293" s="8" t="str">
        <x:v>Ventana Levadiza Plus</x:v>
      </x:c>
      <x:c r="E293" s="8" t="str">
        <x:v>vl-10050-p.png</x:v>
      </x:c>
      <x:c r="F293" s="30"/>
      <x:c r="G293" s="34" t="n">
        <x:v>0</x:v>
      </x:c>
      <x:c r="H293" s="30"/>
      <x:c r="I293" s="32" t="str">
        <x:f>IF(H293&lt;&gt;"",H293,IF(F293="","",ROUND((F293*(1+Ajustes!$B$3/100)*(1+IFERROR(VLOOKUP(B293,Ajustes!$A$7:$B$24,2,FALSE),0)/100)*(1+G293/100))/Ajustes!$B$4,0)*Ajustes!$B$4))</x:f>
      </x:c>
      <x:c r="J293" t="n">
        <x:v>38</x:v>
      </x:c>
    </x:row>
    <x:row r="294">
      <x:c r="A294" t="str">
        <x:v>VL.4030.NG</x:v>
      </x:c>
      <x:c r="B294" t="str">
        <x:v>Aberturas</x:v>
      </x:c>
      <x:c r="C294" s="8" t="str">
        <x:v>Ventanas Levadizas</x:v>
      </x:c>
      <x:c r="D294" s="8" t="str">
        <x:v>Ventana Levadiza - MARCO NEGRO</x:v>
      </x:c>
      <x:c r="E294" s="8" t="str">
        <x:v>vl-4030-ng.png</x:v>
      </x:c>
      <x:c r="F294" s="30"/>
      <x:c r="G294" s="34" t="n">
        <x:v>0</x:v>
      </x:c>
      <x:c r="H294" s="30"/>
      <x:c r="I294" s="32" t="str">
        <x:f>IF(H294&lt;&gt;"",H294,IF(F294="","",ROUND((F294*(1+Ajustes!$B$3/100)*(1+IFERROR(VLOOKUP(B294,Ajustes!$A$7:$B$24,2,FALSE),0)/100)*(1+G294/100))/Ajustes!$B$4,0)*Ajustes!$B$4))</x:f>
      </x:c>
      <x:c r="J294" t="n">
        <x:v>38</x:v>
      </x:c>
    </x:row>
    <x:row r="295">
      <x:c r="A295" t="str">
        <x:v>VL.6040.NG</x:v>
      </x:c>
      <x:c r="B295" t="str">
        <x:v>Aberturas</x:v>
      </x:c>
      <x:c r="C295" s="8" t="str">
        <x:v>Ventanas Levadizas</x:v>
      </x:c>
      <x:c r="D295" s="8" t="str">
        <x:v>Ventana Levadiza - MARCO NEGRO</x:v>
      </x:c>
      <x:c r="E295" s="8" t="str">
        <x:v>vl-6040-ng.png</x:v>
      </x:c>
      <x:c r="F295" s="30"/>
      <x:c r="G295" s="34" t="n">
        <x:v>0</x:v>
      </x:c>
      <x:c r="H295" s="30"/>
      <x:c r="I295" s="32" t="str">
        <x:f>IF(H295&lt;&gt;"",H295,IF(F295="","",ROUND((F295*(1+Ajustes!$B$3/100)*(1+IFERROR(VLOOKUP(B295,Ajustes!$A$7:$B$24,2,FALSE),0)/100)*(1+G295/100))/Ajustes!$B$4,0)*Ajustes!$B$4))</x:f>
      </x:c>
      <x:c r="J295" t="n">
        <x:v>39</x:v>
      </x:c>
    </x:row>
    <x:row r="296">
      <x:c r="A296" t="str">
        <x:v>VL.8050.NG</x:v>
      </x:c>
      <x:c r="B296" t="str">
        <x:v>Aberturas</x:v>
      </x:c>
      <x:c r="C296" s="8" t="str">
        <x:v>Ventanas Levadizas</x:v>
      </x:c>
      <x:c r="D296" s="8" t="str">
        <x:v>Ventana Levadiza - MARCO NEGRO</x:v>
      </x:c>
      <x:c r="E296" s="8" t="str">
        <x:v>vl-8050-ng.png</x:v>
      </x:c>
      <x:c r="F296" s="30"/>
      <x:c r="G296" s="34" t="n">
        <x:v>0</x:v>
      </x:c>
      <x:c r="H296" s="30"/>
      <x:c r="I296" s="32" t="str">
        <x:f>IF(H296&lt;&gt;"",H296,IF(F296="","",ROUND((F296*(1+Ajustes!$B$3/100)*(1+IFERROR(VLOOKUP(B296,Ajustes!$A$7:$B$24,2,FALSE),0)/100)*(1+G296/100))/Ajustes!$B$4,0)*Ajustes!$B$4))</x:f>
      </x:c>
      <x:c r="J296" t="n">
        <x:v>39</x:v>
      </x:c>
    </x:row>
    <x:row r="297">
      <x:c r="A297" t="str">
        <x:v>VL.10050.NG</x:v>
      </x:c>
      <x:c r="B297" t="str">
        <x:v>Aberturas</x:v>
      </x:c>
      <x:c r="C297" s="8" t="str">
        <x:v>Ventanas Levadizas</x:v>
      </x:c>
      <x:c r="D297" s="8" t="str">
        <x:v>Ventana Levadiza - MARCO NEGRO</x:v>
      </x:c>
      <x:c r="E297" s="8" t="str">
        <x:v>vl-10050-ng.png</x:v>
      </x:c>
      <x:c r="F297" s="30"/>
      <x:c r="G297" s="34" t="n">
        <x:v>0</x:v>
      </x:c>
      <x:c r="H297" s="30"/>
      <x:c r="I297" s="32" t="str">
        <x:f>IF(H297&lt;&gt;"",H297,IF(F297="","",ROUND((F297*(1+Ajustes!$B$3/100)*(1+IFERROR(VLOOKUP(B297,Ajustes!$A$7:$B$24,2,FALSE),0)/100)*(1+G297/100))/Ajustes!$B$4,0)*Ajustes!$B$4))</x:f>
      </x:c>
      <x:c r="J297" t="n">
        <x:v>39</x:v>
      </x:c>
    </x:row>
    <x:row r="298">
      <x:c r="A298" t="str">
        <x:v>VL.12050.NG</x:v>
      </x:c>
      <x:c r="B298" t="str">
        <x:v>Aberturas</x:v>
      </x:c>
      <x:c r="C298" s="8" t="str">
        <x:v>Ventanas Levadizas</x:v>
      </x:c>
      <x:c r="D298" s="8" t="str">
        <x:v>Ventana Levadiza - MARCO NEGRO</x:v>
      </x:c>
      <x:c r="E298" s="8" t="str">
        <x:v>vl-12050-ng.png</x:v>
      </x:c>
      <x:c r="F298" s="30"/>
      <x:c r="G298" s="34" t="n">
        <x:v>0</x:v>
      </x:c>
      <x:c r="H298" s="30"/>
      <x:c r="I298" s="32" t="str">
        <x:f>IF(H298&lt;&gt;"",H298,IF(F298="","",ROUND((F298*(1+Ajustes!$B$3/100)*(1+IFERROR(VLOOKUP(B298,Ajustes!$A$7:$B$24,2,FALSE),0)/100)*(1+G298/100))/Ajustes!$B$4,0)*Ajustes!$B$4))</x:f>
      </x:c>
      <x:c r="J298" t="n">
        <x:v>39</x:v>
      </x:c>
    </x:row>
    <x:row r="299">
      <x:c r="A299" t="str">
        <x:v>VD.6040.NG</x:v>
      </x:c>
      <x:c r="B299" t="str">
        <x:v>Aberturas</x:v>
      </x:c>
      <x:c r="C299" s="8" t="str">
        <x:v>Ventanas Dobles Corredizas</x:v>
      </x:c>
      <x:c r="D299" s="8" t="str">
        <x:v>Ventana Doble Corrediza - MARCO NEGRO</x:v>
      </x:c>
      <x:c r="E299" s="8" t="str">
        <x:v>vd-6040-ng.png</x:v>
      </x:c>
      <x:c r="F299" s="30"/>
      <x:c r="G299" s="34" t="n">
        <x:v>0</x:v>
      </x:c>
      <x:c r="H299" s="30"/>
      <x:c r="I299" s="32" t="str">
        <x:f>IF(H299&lt;&gt;"",H299,IF(F299="","",ROUND((F299*(1+Ajustes!$B$3/100)*(1+IFERROR(VLOOKUP(B299,Ajustes!$A$7:$B$24,2,FALSE),0)/100)*(1+G299/100))/Ajustes!$B$4,0)*Ajustes!$B$4))</x:f>
      </x:c>
      <x:c r="J299" t="n">
        <x:v>39</x:v>
      </x:c>
    </x:row>
    <x:row r="300">
      <x:c r="A300" t="str">
        <x:v>VD.7040.NG</x:v>
      </x:c>
      <x:c r="B300" t="str">
        <x:v>Aberturas</x:v>
      </x:c>
      <x:c r="C300" s="8" t="str">
        <x:v>Ventanas Dobles Corredizas</x:v>
      </x:c>
      <x:c r="D300" s="8" t="str">
        <x:v>Ventana Doble Corrediza - MARCO NEGRO</x:v>
      </x:c>
      <x:c r="E300" s="8" t="str">
        <x:v>vd-7040-ng.png</x:v>
      </x:c>
      <x:c r="F300" s="30"/>
      <x:c r="G300" s="34" t="n">
        <x:v>0</x:v>
      </x:c>
      <x:c r="H300" s="30"/>
      <x:c r="I300" s="32" t="str">
        <x:f>IF(H300&lt;&gt;"",H300,IF(F300="","",ROUND((F300*(1+Ajustes!$B$3/100)*(1+IFERROR(VLOOKUP(B300,Ajustes!$A$7:$B$24,2,FALSE),0)/100)*(1+G300/100))/Ajustes!$B$4,0)*Ajustes!$B$4))</x:f>
      </x:c>
      <x:c r="J300" t="n">
        <x:v>39</x:v>
      </x:c>
    </x:row>
    <x:row r="301">
      <x:c r="A301" t="str">
        <x:v>VD.8040.NG</x:v>
      </x:c>
      <x:c r="B301" t="str">
        <x:v>Aberturas</x:v>
      </x:c>
      <x:c r="C301" s="8" t="str">
        <x:v>Ventanas Dobles Corredizas</x:v>
      </x:c>
      <x:c r="D301" s="8" t="str">
        <x:v>Ventana Doble Corrediza - MARCO NEGRO</x:v>
      </x:c>
      <x:c r="E301" s="8" t="str">
        <x:v>vd-8040-ng.png</x:v>
      </x:c>
      <x:c r="F301" s="30"/>
      <x:c r="G301" s="34" t="n">
        <x:v>0</x:v>
      </x:c>
      <x:c r="H301" s="30"/>
      <x:c r="I301" s="32" t="str">
        <x:f>IF(H301&lt;&gt;"",H301,IF(F301="","",ROUND((F301*(1+Ajustes!$B$3/100)*(1+IFERROR(VLOOKUP(B301,Ajustes!$A$7:$B$24,2,FALSE),0)/100)*(1+G301/100))/Ajustes!$B$4,0)*Ajustes!$B$4))</x:f>
      </x:c>
      <x:c r="J301" t="n">
        <x:v>39</x:v>
      </x:c>
    </x:row>
    <x:row r="302">
      <x:c r="A302" t="str">
        <x:v>VD.8050.NG</x:v>
      </x:c>
      <x:c r="B302" t="str">
        <x:v>Aberturas</x:v>
      </x:c>
      <x:c r="C302" s="8" t="str">
        <x:v>Ventanas Dobles Corredizas</x:v>
      </x:c>
      <x:c r="D302" s="8" t="str">
        <x:v>Ventana Doble Corrediza - MARCO NEGRO</x:v>
      </x:c>
      <x:c r="E302" s="8" t="str">
        <x:v>vd-8050-ng.png</x:v>
      </x:c>
      <x:c r="F302" s="30"/>
      <x:c r="G302" s="34" t="n">
        <x:v>0</x:v>
      </x:c>
      <x:c r="H302" s="30"/>
      <x:c r="I302" s="32" t="str">
        <x:f>IF(H302&lt;&gt;"",H302,IF(F302="","",ROUND((F302*(1+Ajustes!$B$3/100)*(1+IFERROR(VLOOKUP(B302,Ajustes!$A$7:$B$24,2,FALSE),0)/100)*(1+G302/100))/Ajustes!$B$4,0)*Ajustes!$B$4))</x:f>
      </x:c>
      <x:c r="J302" t="n">
        <x:v>39</x:v>
      </x:c>
    </x:row>
    <x:row r="303">
      <x:c r="A303" t="str">
        <x:v>VD.10050.NG</x:v>
      </x:c>
      <x:c r="B303" t="str">
        <x:v>Aberturas</x:v>
      </x:c>
      <x:c r="C303" s="8" t="str">
        <x:v>Ventanas Dobles Corredizas</x:v>
      </x:c>
      <x:c r="D303" s="8" t="str">
        <x:v>Ventana Doble Corrediza - MARCO NEGRO</x:v>
      </x:c>
      <x:c r="E303" s="8" t="str">
        <x:v>vd-10050-ng.png</x:v>
      </x:c>
      <x:c r="F303" s="30"/>
      <x:c r="G303" s="34" t="n">
        <x:v>0</x:v>
      </x:c>
      <x:c r="H303" s="30"/>
      <x:c r="I303" s="32" t="str">
        <x:f>IF(H303&lt;&gt;"",H303,IF(F303="","",ROUND((F303*(1+Ajustes!$B$3/100)*(1+IFERROR(VLOOKUP(B303,Ajustes!$A$7:$B$24,2,FALSE),0)/100)*(1+G303/100))/Ajustes!$B$4,0)*Ajustes!$B$4))</x:f>
      </x:c>
      <x:c r="J303" t="n">
        <x:v>40</x:v>
      </x:c>
    </x:row>
    <x:row r="304">
      <x:c r="A304" t="str">
        <x:v>VD.12050.NG</x:v>
      </x:c>
      <x:c r="B304" t="str">
        <x:v>Aberturas</x:v>
      </x:c>
      <x:c r="C304" s="8" t="str">
        <x:v>Ventanas Dobles Corredizas</x:v>
      </x:c>
      <x:c r="D304" s="8" t="str">
        <x:v>Ventana Doble Corrediza - MARCO NEGRO</x:v>
      </x:c>
      <x:c r="E304" s="8" t="str">
        <x:v>vd-12050-ng.png</x:v>
      </x:c>
      <x:c r="F304" s="30"/>
      <x:c r="G304" s="34" t="n">
        <x:v>0</x:v>
      </x:c>
      <x:c r="H304" s="30"/>
      <x:c r="I304" s="32" t="str">
        <x:f>IF(H304&lt;&gt;"",H304,IF(F304="","",ROUND((F304*(1+Ajustes!$B$3/100)*(1+IFERROR(VLOOKUP(B304,Ajustes!$A$7:$B$24,2,FALSE),0)/100)*(1+G304/100))/Ajustes!$B$4,0)*Ajustes!$B$4))</x:f>
      </x:c>
      <x:c r="J304" t="n">
        <x:v>40</x:v>
      </x:c>
    </x:row>
    <x:row r="305">
      <x:c r="A305" t="str">
        <x:v>VD.10035.NG</x:v>
      </x:c>
      <x:c r="B305" t="str">
        <x:v>Aberturas</x:v>
      </x:c>
      <x:c r="C305" s="8" t="str">
        <x:v>Ventanas Dobles Corredizas</x:v>
      </x:c>
      <x:c r="D305" s="8" t="str">
        <x:v>Ventana Doble Corrediza - MARCO NEGRO</x:v>
      </x:c>
      <x:c r="E305" s="8" t="str">
        <x:v>vd-10035-ng.png</x:v>
      </x:c>
      <x:c r="F305" s="30"/>
      <x:c r="G305" s="34" t="n">
        <x:v>0</x:v>
      </x:c>
      <x:c r="H305" s="30"/>
      <x:c r="I305" s="32" t="str">
        <x:f>IF(H305&lt;&gt;"",H305,IF(F305="","",ROUND((F305*(1+Ajustes!$B$3/100)*(1+IFERROR(VLOOKUP(B305,Ajustes!$A$7:$B$24,2,FALSE),0)/100)*(1+G305/100))/Ajustes!$B$4,0)*Ajustes!$B$4))</x:f>
      </x:c>
      <x:c r="J305" t="n">
        <x:v>40</x:v>
      </x:c>
    </x:row>
    <x:row r="306">
      <x:c r="A306" t="str">
        <x:v>VD.12035.NG</x:v>
      </x:c>
      <x:c r="B306" t="str">
        <x:v>Aberturas</x:v>
      </x:c>
      <x:c r="C306" s="8" t="str">
        <x:v>Ventanas Dobles Corredizas</x:v>
      </x:c>
      <x:c r="D306" s="8" t="str">
        <x:v>Ventana Doble Corrediza - MARCO NEGRO</x:v>
      </x:c>
      <x:c r="E306" s="8" t="str">
        <x:v>vd-12035-ng.png</x:v>
      </x:c>
      <x:c r="F306" s="30"/>
      <x:c r="G306" s="34" t="n">
        <x:v>0</x:v>
      </x:c>
      <x:c r="H306" s="30"/>
      <x:c r="I306" s="32" t="str">
        <x:f>IF(H306&lt;&gt;"",H306,IF(F306="","",ROUND((F306*(1+Ajustes!$B$3/100)*(1+IFERROR(VLOOKUP(B306,Ajustes!$A$7:$B$24,2,FALSE),0)/100)*(1+G306/100))/Ajustes!$B$4,0)*Ajustes!$B$4))</x:f>
      </x:c>
      <x:c r="J306" t="n">
        <x:v>40</x:v>
      </x:c>
    </x:row>
    <x:row r="307">
      <x:c r="A307" t="str">
        <x:v>VD.10060.NG</x:v>
      </x:c>
      <x:c r="B307" t="str">
        <x:v>Aberturas</x:v>
      </x:c>
      <x:c r="C307" s="8" t="str">
        <x:v>Ventanas Dobles Corredizas</x:v>
      </x:c>
      <x:c r="D307" s="8" t="str">
        <x:v>Ventana Doble Corrediza - MARCO NEGRO</x:v>
      </x:c>
      <x:c r="E307" s="8" t="str">
        <x:v>vd-10060-ng.png</x:v>
      </x:c>
      <x:c r="F307" s="30"/>
      <x:c r="G307" s="34" t="n">
        <x:v>0</x:v>
      </x:c>
      <x:c r="H307" s="30"/>
      <x:c r="I307" s="32" t="str">
        <x:f>IF(H307&lt;&gt;"",H307,IF(F307="","",ROUND((F307*(1+Ajustes!$B$3/100)*(1+IFERROR(VLOOKUP(B307,Ajustes!$A$7:$B$24,2,FALSE),0)/100)*(1+G307/100))/Ajustes!$B$4,0)*Ajustes!$B$4))</x:f>
      </x:c>
      <x:c r="J307" t="n">
        <x:v>40</x:v>
      </x:c>
    </x:row>
    <x:row r="308">
      <x:c r="A308" t="str">
        <x:v>VD.12060.NG</x:v>
      </x:c>
      <x:c r="B308" t="str">
        <x:v>Aberturas</x:v>
      </x:c>
      <x:c r="C308" s="8" t="str">
        <x:v>Ventanas Dobles Corredizas</x:v>
      </x:c>
      <x:c r="D308" s="8" t="str">
        <x:v>Ventana Doble Corrediza - MARCO NEGRO</x:v>
      </x:c>
      <x:c r="E308" s="8" t="str">
        <x:v>vd-12060-ng.png</x:v>
      </x:c>
      <x:c r="F308" s="30"/>
      <x:c r="G308" s="34" t="n">
        <x:v>0</x:v>
      </x:c>
      <x:c r="H308" s="30"/>
      <x:c r="I308" s="32" t="str">
        <x:f>IF(H308&lt;&gt;"",H308,IF(F308="","",ROUND((F308*(1+Ajustes!$B$3/100)*(1+IFERROR(VLOOKUP(B308,Ajustes!$A$7:$B$24,2,FALSE),0)/100)*(1+G308/100))/Ajustes!$B$4,0)*Ajustes!$B$4))</x:f>
      </x:c>
      <x:c r="J308" t="n">
        <x:v>40</x:v>
      </x:c>
    </x:row>
    <x:row r="309">
      <x:c r="A309" t="str">
        <x:v>VD.10070.NG</x:v>
      </x:c>
      <x:c r="B309" t="str">
        <x:v>Aberturas</x:v>
      </x:c>
      <x:c r="C309" s="8" t="str">
        <x:v>Ventanas Dobles Corredizas</x:v>
      </x:c>
      <x:c r="D309" s="8" t="str">
        <x:v>Ventana Doble Corrediza - MARCO NEGRO</x:v>
      </x:c>
      <x:c r="E309" s="8" t="str">
        <x:v>vd-10070-ng.png</x:v>
      </x:c>
      <x:c r="F309" s="30"/>
      <x:c r="G309" s="34" t="n">
        <x:v>0</x:v>
      </x:c>
      <x:c r="H309" s="30"/>
      <x:c r="I309" s="32" t="str">
        <x:f>IF(H309&lt;&gt;"",H309,IF(F309="","",ROUND((F309*(1+Ajustes!$B$3/100)*(1+IFERROR(VLOOKUP(B309,Ajustes!$A$7:$B$24,2,FALSE),0)/100)*(1+G309/100))/Ajustes!$B$4,0)*Ajustes!$B$4))</x:f>
      </x:c>
      <x:c r="J309" t="n">
        <x:v>40</x:v>
      </x:c>
    </x:row>
    <x:row r="310">
      <x:c r="A310" t="str">
        <x:v>VD.12070.NG</x:v>
      </x:c>
      <x:c r="B310" t="str">
        <x:v>Aberturas</x:v>
      </x:c>
      <x:c r="C310" s="8" t="str">
        <x:v>Ventanas Dobles Corredizas</x:v>
      </x:c>
      <x:c r="D310" s="8" t="str">
        <x:v>Ventana Doble Corrediza - MARCO NEGRO</x:v>
      </x:c>
      <x:c r="E310" s="8" t="str">
        <x:v>vd-12070-ng.png</x:v>
      </x:c>
      <x:c r="F310" s="30"/>
      <x:c r="G310" s="34" t="n">
        <x:v>0</x:v>
      </x:c>
      <x:c r="H310" s="30"/>
      <x:c r="I310" s="32" t="str">
        <x:f>IF(H310&lt;&gt;"",H310,IF(F310="","",ROUND((F310*(1+Ajustes!$B$3/100)*(1+IFERROR(VLOOKUP(B310,Ajustes!$A$7:$B$24,2,FALSE),0)/100)*(1+G310/100))/Ajustes!$B$4,0)*Ajustes!$B$4))</x:f>
      </x:c>
      <x:c r="J310" t="n">
        <x:v>40</x:v>
      </x:c>
    </x:row>
    <x:row r="311">
      <x:c r="A311" t="str">
        <x:v>VD.9090.NG</x:v>
      </x:c>
      <x:c r="B311" t="str">
        <x:v>Aberturas</x:v>
      </x:c>
      <x:c r="C311" s="8" t="str">
        <x:v>Ventanas Dobles Corredizas</x:v>
      </x:c>
      <x:c r="D311" s="8" t="str">
        <x:v>Ventana Doble Corrediza - MARCO NEGRO</x:v>
      </x:c>
      <x:c r="E311" s="8" t="str">
        <x:v>vd-9090-ng.png</x:v>
      </x:c>
      <x:c r="F311" s="30"/>
      <x:c r="G311" s="34" t="n">
        <x:v>0</x:v>
      </x:c>
      <x:c r="H311" s="30"/>
      <x:c r="I311" s="32" t="str">
        <x:f>IF(H311&lt;&gt;"",H311,IF(F311="","",ROUND((F311*(1+Ajustes!$B$3/100)*(1+IFERROR(VLOOKUP(B311,Ajustes!$A$7:$B$24,2,FALSE),0)/100)*(1+G311/100))/Ajustes!$B$4,0)*Ajustes!$B$4))</x:f>
      </x:c>
      <x:c r="J311" t="n">
        <x:v>41</x:v>
      </x:c>
    </x:row>
    <x:row r="312">
      <x:c r="A312" t="str">
        <x:v>VD.7070.NG</x:v>
      </x:c>
      <x:c r="B312" t="str">
        <x:v>Aberturas</x:v>
      </x:c>
      <x:c r="C312" s="8" t="str">
        <x:v>Ventanas Dobles Corredizas</x:v>
      </x:c>
      <x:c r="D312" s="8" t="str">
        <x:v>Ventana Doble Corrediza - MARCO NEGRO</x:v>
      </x:c>
      <x:c r="E312" s="8" t="str">
        <x:v>vd-7070-ng.png</x:v>
      </x:c>
      <x:c r="F312" s="30"/>
      <x:c r="G312" s="34" t="n">
        <x:v>0</x:v>
      </x:c>
      <x:c r="H312" s="30"/>
      <x:c r="I312" s="32" t="str">
        <x:f>IF(H312&lt;&gt;"",H312,IF(F312="","",ROUND((F312*(1+Ajustes!$B$3/100)*(1+IFERROR(VLOOKUP(B312,Ajustes!$A$7:$B$24,2,FALSE),0)/100)*(1+G312/100))/Ajustes!$B$4,0)*Ajustes!$B$4))</x:f>
      </x:c>
      <x:c r="J312" t="n">
        <x:v>41</x:v>
      </x:c>
    </x:row>
    <x:row r="313">
      <x:c r="A313" t="str">
        <x:v>VD.6040.NI</x:v>
      </x:c>
      <x:c r="B313" t="str">
        <x:v>Aberturas</x:v>
      </x:c>
      <x:c r="C313" s="8" t="str">
        <x:v>Ventanas Dobles Corredizas</x:v>
      </x:c>
      <x:c r="D313" s="8" t="str">
        <x:v>Ventana Doble Corrediza - MARCO NATURAL</x:v>
      </x:c>
      <x:c r="E313" s="8" t="str">
        <x:v>vd-6040-ni.png</x:v>
      </x:c>
      <x:c r="F313" s="30"/>
      <x:c r="G313" s="34" t="n">
        <x:v>0</x:v>
      </x:c>
      <x:c r="H313" s="30"/>
      <x:c r="I313" s="32" t="str">
        <x:f>IF(H313&lt;&gt;"",H313,IF(F313="","",ROUND((F313*(1+Ajustes!$B$3/100)*(1+IFERROR(VLOOKUP(B313,Ajustes!$A$7:$B$24,2,FALSE),0)/100)*(1+G313/100))/Ajustes!$B$4,0)*Ajustes!$B$4))</x:f>
      </x:c>
      <x:c r="J313" t="n">
        <x:v>41</x:v>
      </x:c>
    </x:row>
    <x:row r="314">
      <x:c r="A314" t="str">
        <x:v>VD.7040.NI</x:v>
      </x:c>
      <x:c r="B314" t="str">
        <x:v>Aberturas</x:v>
      </x:c>
      <x:c r="C314" s="8" t="str">
        <x:v>Ventanas Dobles Corredizas</x:v>
      </x:c>
      <x:c r="D314" s="8" t="str">
        <x:v>Ventana Doble Corrediza - MARCO NATURAL</x:v>
      </x:c>
      <x:c r="E314" s="8" t="str">
        <x:v>vd-7040-ni.png</x:v>
      </x:c>
      <x:c r="F314" s="30"/>
      <x:c r="G314" s="34" t="n">
        <x:v>0</x:v>
      </x:c>
      <x:c r="H314" s="30"/>
      <x:c r="I314" s="32" t="str">
        <x:f>IF(H314&lt;&gt;"",H314,IF(F314="","",ROUND((F314*(1+Ajustes!$B$3/100)*(1+IFERROR(VLOOKUP(B314,Ajustes!$A$7:$B$24,2,FALSE),0)/100)*(1+G314/100))/Ajustes!$B$4,0)*Ajustes!$B$4))</x:f>
      </x:c>
      <x:c r="J314" t="n">
        <x:v>41</x:v>
      </x:c>
    </x:row>
    <x:row r="315">
      <x:c r="A315" t="str">
        <x:v>VD.8040.NI</x:v>
      </x:c>
      <x:c r="B315" t="str">
        <x:v>Aberturas</x:v>
      </x:c>
      <x:c r="C315" s="8" t="str">
        <x:v>Ventanas Dobles Corredizas</x:v>
      </x:c>
      <x:c r="D315" s="8" t="str">
        <x:v>Ventana Doble Corrediza - MARCO NATURAL</x:v>
      </x:c>
      <x:c r="E315" s="8" t="str">
        <x:v>vd-8040-ni.png</x:v>
      </x:c>
      <x:c r="F315" s="30"/>
      <x:c r="G315" s="34" t="n">
        <x:v>0</x:v>
      </x:c>
      <x:c r="H315" s="30"/>
      <x:c r="I315" s="32" t="str">
        <x:f>IF(H315&lt;&gt;"",H315,IF(F315="","",ROUND((F315*(1+Ajustes!$B$3/100)*(1+IFERROR(VLOOKUP(B315,Ajustes!$A$7:$B$24,2,FALSE),0)/100)*(1+G315/100))/Ajustes!$B$4,0)*Ajustes!$B$4))</x:f>
      </x:c>
      <x:c r="J315" t="n">
        <x:v>41</x:v>
      </x:c>
    </x:row>
    <x:row r="316">
      <x:c r="A316" t="str">
        <x:v>VD.8050.NI</x:v>
      </x:c>
      <x:c r="B316" t="str">
        <x:v>Aberturas</x:v>
      </x:c>
      <x:c r="C316" s="8" t="str">
        <x:v>Ventanas Dobles Corredizas</x:v>
      </x:c>
      <x:c r="D316" s="8" t="str">
        <x:v>Ventana Doble Corrediza - MARCO NATURAL</x:v>
      </x:c>
      <x:c r="E316" s="8" t="str">
        <x:v>vd-8050-ni.png</x:v>
      </x:c>
      <x:c r="F316" s="30"/>
      <x:c r="G316" s="34" t="n">
        <x:v>0</x:v>
      </x:c>
      <x:c r="H316" s="30"/>
      <x:c r="I316" s="32" t="str">
        <x:f>IF(H316&lt;&gt;"",H316,IF(F316="","",ROUND((F316*(1+Ajustes!$B$3/100)*(1+IFERROR(VLOOKUP(B316,Ajustes!$A$7:$B$24,2,FALSE),0)/100)*(1+G316/100))/Ajustes!$B$4,0)*Ajustes!$B$4))</x:f>
      </x:c>
      <x:c r="J316" t="n">
        <x:v>41</x:v>
      </x:c>
    </x:row>
    <x:row r="317">
      <x:c r="A317" t="str">
        <x:v>VD.10050.NI</x:v>
      </x:c>
      <x:c r="B317" t="str">
        <x:v>Aberturas</x:v>
      </x:c>
      <x:c r="C317" s="8" t="str">
        <x:v>Ventanas Dobles Corredizas</x:v>
      </x:c>
      <x:c r="D317" s="8" t="str">
        <x:v>Ventana Doble Corrediza - MARCO NATURAL</x:v>
      </x:c>
      <x:c r="E317" s="8" t="str">
        <x:v>vd-10050-ni.png</x:v>
      </x:c>
      <x:c r="F317" s="30"/>
      <x:c r="G317" s="34" t="n">
        <x:v>0</x:v>
      </x:c>
      <x:c r="H317" s="30"/>
      <x:c r="I317" s="32" t="str">
        <x:f>IF(H317&lt;&gt;"",H317,IF(F317="","",ROUND((F317*(1+Ajustes!$B$3/100)*(1+IFERROR(VLOOKUP(B317,Ajustes!$A$7:$B$24,2,FALSE),0)/100)*(1+G317/100))/Ajustes!$B$4,0)*Ajustes!$B$4))</x:f>
      </x:c>
      <x:c r="J317" t="n">
        <x:v>41</x:v>
      </x:c>
    </x:row>
    <x:row r="318">
      <x:c r="A318" t="str">
        <x:v>VD.12050.NI</x:v>
      </x:c>
      <x:c r="B318" t="str">
        <x:v>Aberturas</x:v>
      </x:c>
      <x:c r="C318" s="8" t="str">
        <x:v>Ventanas Dobles Corredizas</x:v>
      </x:c>
      <x:c r="D318" s="8" t="str">
        <x:v>Ventana Doble Corrediza - MARCO NATURAL</x:v>
      </x:c>
      <x:c r="E318" s="8" t="str">
        <x:v>vd-12050-ni.png</x:v>
      </x:c>
      <x:c r="F318" s="30"/>
      <x:c r="G318" s="34" t="n">
        <x:v>0</x:v>
      </x:c>
      <x:c r="H318" s="30"/>
      <x:c r="I318" s="32" t="str">
        <x:f>IF(H318&lt;&gt;"",H318,IF(F318="","",ROUND((F318*(1+Ajustes!$B$3/100)*(1+IFERROR(VLOOKUP(B318,Ajustes!$A$7:$B$24,2,FALSE),0)/100)*(1+G318/100))/Ajustes!$B$4,0)*Ajustes!$B$4))</x:f>
      </x:c>
      <x:c r="J318" t="n">
        <x:v>41</x:v>
      </x:c>
    </x:row>
    <x:row r="319">
      <x:c r="A319" t="str">
        <x:v>VD.10035.NI</x:v>
      </x:c>
      <x:c r="B319" t="str">
        <x:v>Aberturas</x:v>
      </x:c>
      <x:c r="C319" s="8" t="str">
        <x:v>Ventanas Dobles Corredizas</x:v>
      </x:c>
      <x:c r="D319" s="8" t="str">
        <x:v>Ventana Doble Corrediza - MARCO NATURAL</x:v>
      </x:c>
      <x:c r="E319" s="8" t="str">
        <x:v>vd-10035-ni.png</x:v>
      </x:c>
      <x:c r="F319" s="30"/>
      <x:c r="G319" s="34" t="n">
        <x:v>0</x:v>
      </x:c>
      <x:c r="H319" s="30"/>
      <x:c r="I319" s="32" t="str">
        <x:f>IF(H319&lt;&gt;"",H319,IF(F319="","",ROUND((F319*(1+Ajustes!$B$3/100)*(1+IFERROR(VLOOKUP(B319,Ajustes!$A$7:$B$24,2,FALSE),0)/100)*(1+G319/100))/Ajustes!$B$4,0)*Ajustes!$B$4))</x:f>
      </x:c>
      <x:c r="J319" t="n">
        <x:v>42</x:v>
      </x:c>
    </x:row>
    <x:row r="320">
      <x:c r="A320" t="str">
        <x:v>VD.12035.NI</x:v>
      </x:c>
      <x:c r="B320" t="str">
        <x:v>Aberturas</x:v>
      </x:c>
      <x:c r="C320" s="8" t="str">
        <x:v>Ventanas Dobles Corredizas</x:v>
      </x:c>
      <x:c r="D320" s="8" t="str">
        <x:v>Ventana Doble Corrediza - MARCO NATURAL</x:v>
      </x:c>
      <x:c r="E320" s="8" t="str">
        <x:v>vd-12035-ni.png</x:v>
      </x:c>
      <x:c r="F320" s="30"/>
      <x:c r="G320" s="34" t="n">
        <x:v>0</x:v>
      </x:c>
      <x:c r="H320" s="30"/>
      <x:c r="I320" s="32" t="str">
        <x:f>IF(H320&lt;&gt;"",H320,IF(F320="","",ROUND((F320*(1+Ajustes!$B$3/100)*(1+IFERROR(VLOOKUP(B320,Ajustes!$A$7:$B$24,2,FALSE),0)/100)*(1+G320/100))/Ajustes!$B$4,0)*Ajustes!$B$4))</x:f>
      </x:c>
      <x:c r="J320" t="n">
        <x:v>42</x:v>
      </x:c>
    </x:row>
    <x:row r="321">
      <x:c r="A321" t="str">
        <x:v>VD.10060.NI</x:v>
      </x:c>
      <x:c r="B321" t="str">
        <x:v>Aberturas</x:v>
      </x:c>
      <x:c r="C321" s="8" t="str">
        <x:v>Ventanas Dobles Corredizas</x:v>
      </x:c>
      <x:c r="D321" s="8" t="str">
        <x:v>Ventana Doble Corrediza - MARCO NATURAL</x:v>
      </x:c>
      <x:c r="E321" s="8" t="str">
        <x:v>vd-10060-ni.png</x:v>
      </x:c>
      <x:c r="F321" s="30"/>
      <x:c r="G321" s="34" t="n">
        <x:v>0</x:v>
      </x:c>
      <x:c r="H321" s="30"/>
      <x:c r="I321" s="32" t="str">
        <x:f>IF(H321&lt;&gt;"",H321,IF(F321="","",ROUND((F321*(1+Ajustes!$B$3/100)*(1+IFERROR(VLOOKUP(B321,Ajustes!$A$7:$B$24,2,FALSE),0)/100)*(1+G321/100))/Ajustes!$B$4,0)*Ajustes!$B$4))</x:f>
      </x:c>
      <x:c r="J321" t="n">
        <x:v>42</x:v>
      </x:c>
    </x:row>
    <x:row r="322">
      <x:c r="A322" t="str">
        <x:v>VD.12060.NI</x:v>
      </x:c>
      <x:c r="B322" t="str">
        <x:v>Aberturas</x:v>
      </x:c>
      <x:c r="C322" s="8" t="str">
        <x:v>Ventanas Dobles Corredizas</x:v>
      </x:c>
      <x:c r="D322" s="8" t="str">
        <x:v>Ventana Doble Corrediza - MARCO NATURAL</x:v>
      </x:c>
      <x:c r="E322" s="8" t="str">
        <x:v>vd-12060-ni.png</x:v>
      </x:c>
      <x:c r="F322" s="30"/>
      <x:c r="G322" s="34" t="n">
        <x:v>0</x:v>
      </x:c>
      <x:c r="H322" s="30"/>
      <x:c r="I322" s="32" t="str">
        <x:f>IF(H322&lt;&gt;"",H322,IF(F322="","",ROUND((F322*(1+Ajustes!$B$3/100)*(1+IFERROR(VLOOKUP(B322,Ajustes!$A$7:$B$24,2,FALSE),0)/100)*(1+G322/100))/Ajustes!$B$4,0)*Ajustes!$B$4))</x:f>
      </x:c>
      <x:c r="J322" t="n">
        <x:v>42</x:v>
      </x:c>
    </x:row>
    <x:row r="323">
      <x:c r="A323" t="str">
        <x:v>VD.10070.NI</x:v>
      </x:c>
      <x:c r="B323" t="str">
        <x:v>Aberturas</x:v>
      </x:c>
      <x:c r="C323" s="8" t="str">
        <x:v>Ventanas Dobles Corredizas</x:v>
      </x:c>
      <x:c r="D323" s="8" t="str">
        <x:v>Ventana Doble Corrediza - MARCO NATURAL</x:v>
      </x:c>
      <x:c r="E323" s="8" t="str">
        <x:v>vd-10070-ni.png</x:v>
      </x:c>
      <x:c r="F323" s="30"/>
      <x:c r="G323" s="34" t="n">
        <x:v>0</x:v>
      </x:c>
      <x:c r="H323" s="30"/>
      <x:c r="I323" s="32" t="str">
        <x:f>IF(H323&lt;&gt;"",H323,IF(F323="","",ROUND((F323*(1+Ajustes!$B$3/100)*(1+IFERROR(VLOOKUP(B323,Ajustes!$A$7:$B$24,2,FALSE),0)/100)*(1+G323/100))/Ajustes!$B$4,0)*Ajustes!$B$4))</x:f>
      </x:c>
      <x:c r="J323" t="n">
        <x:v>42</x:v>
      </x:c>
    </x:row>
    <x:row r="324">
      <x:c r="A324" t="str">
        <x:v>VD.12070.NI</x:v>
      </x:c>
      <x:c r="B324" t="str">
        <x:v>Aberturas</x:v>
      </x:c>
      <x:c r="C324" s="8" t="str">
        <x:v>Ventanas Dobles Corredizas</x:v>
      </x:c>
      <x:c r="D324" s="8" t="str">
        <x:v>Ventana Doble Corrediza - MARCO NATURAL</x:v>
      </x:c>
      <x:c r="E324" s="8" t="str">
        <x:v>vd-12070-ni.png</x:v>
      </x:c>
      <x:c r="F324" s="30"/>
      <x:c r="G324" s="34" t="n">
        <x:v>0</x:v>
      </x:c>
      <x:c r="H324" s="30"/>
      <x:c r="I324" s="32" t="str">
        <x:f>IF(H324&lt;&gt;"",H324,IF(F324="","",ROUND((F324*(1+Ajustes!$B$3/100)*(1+IFERROR(VLOOKUP(B324,Ajustes!$A$7:$B$24,2,FALSE),0)/100)*(1+G324/100))/Ajustes!$B$4,0)*Ajustes!$B$4))</x:f>
      </x:c>
      <x:c r="J324" t="n">
        <x:v>42</x:v>
      </x:c>
    </x:row>
    <x:row r="325">
      <x:c r="A325" t="str">
        <x:v>VD.9090.NI</x:v>
      </x:c>
      <x:c r="B325" t="str">
        <x:v>Aberturas</x:v>
      </x:c>
      <x:c r="C325" s="8" t="str">
        <x:v>Ventanas Dobles Corredizas</x:v>
      </x:c>
      <x:c r="D325" s="8" t="str">
        <x:v>Ventana Doble Corrediza - MARCO NATURAL</x:v>
      </x:c>
      <x:c r="E325" s="8" t="str">
        <x:v>vd-9090-ni.png</x:v>
      </x:c>
      <x:c r="F325" s="30"/>
      <x:c r="G325" s="34" t="n">
        <x:v>0</x:v>
      </x:c>
      <x:c r="H325" s="30"/>
      <x:c r="I325" s="32" t="str">
        <x:f>IF(H325&lt;&gt;"",H325,IF(F325="","",ROUND((F325*(1+Ajustes!$B$3/100)*(1+IFERROR(VLOOKUP(B325,Ajustes!$A$7:$B$24,2,FALSE),0)/100)*(1+G325/100))/Ajustes!$B$4,0)*Ajustes!$B$4))</x:f>
      </x:c>
      <x:c r="J325" t="n">
        <x:v>42</x:v>
      </x:c>
    </x:row>
    <x:row r="326">
      <x:c r="A326" t="str">
        <x:v>VD.7070.NI</x:v>
      </x:c>
      <x:c r="B326" t="str">
        <x:v>Aberturas</x:v>
      </x:c>
      <x:c r="C326" s="8" t="str">
        <x:v>Ventanas Dobles Corredizas</x:v>
      </x:c>
      <x:c r="D326" s="8" t="str">
        <x:v>Ventana Doble Corrediza - MARCO NATURAL</x:v>
      </x:c>
      <x:c r="E326" s="8" t="str">
        <x:v>vd-7070-ni.png</x:v>
      </x:c>
      <x:c r="F326" s="30"/>
      <x:c r="G326" s="34" t="n">
        <x:v>0</x:v>
      </x:c>
      <x:c r="H326" s="30"/>
      <x:c r="I326" s="32" t="str">
        <x:f>IF(H326&lt;&gt;"",H326,IF(F326="","",ROUND((F326*(1+Ajustes!$B$3/100)*(1+IFERROR(VLOOKUP(B326,Ajustes!$A$7:$B$24,2,FALSE),0)/100)*(1+G326/100))/Ajustes!$B$4,0)*Ajustes!$B$4))</x:f>
      </x:c>
      <x:c r="J326" t="n">
        <x:v>42</x:v>
      </x:c>
    </x:row>
    <x:row r="327">
      <x:c r="A327" t="str">
        <x:v>VS.4030.NG</x:v>
      </x:c>
      <x:c r="B327" t="str">
        <x:v>Aberturas</x:v>
      </x:c>
      <x:c r="C327" s="8" t="str">
        <x:v>Ventanas Simples Corredizas</x:v>
      </x:c>
      <x:c r="D327" s="8" t="str">
        <x:v>Ventana Simple Corrediza - MARCO NEGRO</x:v>
      </x:c>
      <x:c r="E327" s="8" t="str">
        <x:v>vs-4030-ng.png</x:v>
      </x:c>
      <x:c r="F327" s="30"/>
      <x:c r="G327" s="34" t="n">
        <x:v>0</x:v>
      </x:c>
      <x:c r="H327" s="30"/>
      <x:c r="I327" s="32" t="str">
        <x:f>IF(H327&lt;&gt;"",H327,IF(F327="","",ROUND((F327*(1+Ajustes!$B$3/100)*(1+IFERROR(VLOOKUP(B327,Ajustes!$A$7:$B$24,2,FALSE),0)/100)*(1+G327/100))/Ajustes!$B$4,0)*Ajustes!$B$4))</x:f>
      </x:c>
      <x:c r="J327" t="n">
        <x:v>43</x:v>
      </x:c>
    </x:row>
    <x:row r="328">
      <x:c r="A328" t="str">
        <x:v>VS.4530.NG</x:v>
      </x:c>
      <x:c r="B328" t="str">
        <x:v>Aberturas</x:v>
      </x:c>
      <x:c r="C328" s="8" t="str">
        <x:v>Ventanas Simples Corredizas</x:v>
      </x:c>
      <x:c r="D328" s="8" t="str">
        <x:v>Ventana Simple Corrediza - MARCO NEGRO</x:v>
      </x:c>
      <x:c r="E328" s="8" t="str">
        <x:v>vs-4530-ng.png</x:v>
      </x:c>
      <x:c r="F328" s="30"/>
      <x:c r="G328" s="34" t="n">
        <x:v>0</x:v>
      </x:c>
      <x:c r="H328" s="30"/>
      <x:c r="I328" s="32" t="str">
        <x:f>IF(H328&lt;&gt;"",H328,IF(F328="","",ROUND((F328*(1+Ajustes!$B$3/100)*(1+IFERROR(VLOOKUP(B328,Ajustes!$A$7:$B$24,2,FALSE),0)/100)*(1+G328/100))/Ajustes!$B$4,0)*Ajustes!$B$4))</x:f>
      </x:c>
      <x:c r="J328" t="n">
        <x:v>43</x:v>
      </x:c>
    </x:row>
    <x:row r="329">
      <x:c r="A329" t="str">
        <x:v>VS.6030.NG</x:v>
      </x:c>
      <x:c r="B329" t="str">
        <x:v>Aberturas</x:v>
      </x:c>
      <x:c r="C329" s="8" t="str">
        <x:v>Ventanas Simples Corredizas</x:v>
      </x:c>
      <x:c r="D329" s="8" t="str">
        <x:v>Ventana Simple Corrediza - MARCO NEGRO</x:v>
      </x:c>
      <x:c r="E329" s="8" t="str">
        <x:v>vs-6030-ng.png</x:v>
      </x:c>
      <x:c r="F329" s="30"/>
      <x:c r="G329" s="34" t="n">
        <x:v>0</x:v>
      </x:c>
      <x:c r="H329" s="30"/>
      <x:c r="I329" s="32" t="str">
        <x:f>IF(H329&lt;&gt;"",H329,IF(F329="","",ROUND((F329*(1+Ajustes!$B$3/100)*(1+IFERROR(VLOOKUP(B329,Ajustes!$A$7:$B$24,2,FALSE),0)/100)*(1+G329/100))/Ajustes!$B$4,0)*Ajustes!$B$4))</x:f>
      </x:c>
      <x:c r="J329" t="n">
        <x:v>43</x:v>
      </x:c>
    </x:row>
    <x:row r="330">
      <x:c r="A330" t="str">
        <x:v>VS.4030.NI</x:v>
      </x:c>
      <x:c r="B330" t="str">
        <x:v>Aberturas</x:v>
      </x:c>
      <x:c r="C330" s="8" t="str">
        <x:v>Ventanas Simples Corredizas</x:v>
      </x:c>
      <x:c r="D330" s="8" t="str">
        <x:v>Ventana Simple Corrediza - MARCO NATURAL</x:v>
      </x:c>
      <x:c r="E330" s="8" t="str">
        <x:v>vs-4030-ni.png</x:v>
      </x:c>
      <x:c r="F330" s="30"/>
      <x:c r="G330" s="34" t="n">
        <x:v>0</x:v>
      </x:c>
      <x:c r="H330" s="30"/>
      <x:c r="I330" s="32" t="str">
        <x:f>IF(H330&lt;&gt;"",H330,IF(F330="","",ROUND((F330*(1+Ajustes!$B$3/100)*(1+IFERROR(VLOOKUP(B330,Ajustes!$A$7:$B$24,2,FALSE),0)/100)*(1+G330/100))/Ajustes!$B$4,0)*Ajustes!$B$4))</x:f>
      </x:c>
      <x:c r="J330" t="n">
        <x:v>43</x:v>
      </x:c>
    </x:row>
    <x:row r="331">
      <x:c r="A331" t="str">
        <x:v>VS.4530.NI</x:v>
      </x:c>
      <x:c r="B331" t="str">
        <x:v>Aberturas</x:v>
      </x:c>
      <x:c r="C331" s="8" t="str">
        <x:v>Ventanas Simples Corredizas</x:v>
      </x:c>
      <x:c r="D331" s="8" t="str">
        <x:v>Ventana Simple Corrediza - MARCO NATURAL</x:v>
      </x:c>
      <x:c r="E331" s="8" t="str">
        <x:v>vs-4530-ni.png</x:v>
      </x:c>
      <x:c r="F331" s="30"/>
      <x:c r="G331" s="34" t="n">
        <x:v>0</x:v>
      </x:c>
      <x:c r="H331" s="30"/>
      <x:c r="I331" s="32" t="str">
        <x:f>IF(H331&lt;&gt;"",H331,IF(F331="","",ROUND((F331*(1+Ajustes!$B$3/100)*(1+IFERROR(VLOOKUP(B331,Ajustes!$A$7:$B$24,2,FALSE),0)/100)*(1+G331/100))/Ajustes!$B$4,0)*Ajustes!$B$4))</x:f>
      </x:c>
      <x:c r="J331" t="n">
        <x:v>43</x:v>
      </x:c>
    </x:row>
    <x:row r="332">
      <x:c r="A332" t="str">
        <x:v>VS.6030.NI</x:v>
      </x:c>
      <x:c r="B332" t="str">
        <x:v>Aberturas</x:v>
      </x:c>
      <x:c r="C332" s="8" t="str">
        <x:v>Ventanas Simples Corredizas</x:v>
      </x:c>
      <x:c r="D332" s="8" t="str">
        <x:v>Ventana Simple Corrediza - MARCO NATURAL</x:v>
      </x:c>
      <x:c r="E332" s="8" t="str">
        <x:v>vs-6030-ni.png</x:v>
      </x:c>
      <x:c r="F332" s="30"/>
      <x:c r="G332" s="34" t="n">
        <x:v>0</x:v>
      </x:c>
      <x:c r="H332" s="30"/>
      <x:c r="I332" s="32" t="str">
        <x:f>IF(H332&lt;&gt;"",H332,IF(F332="","",ROUND((F332*(1+Ajustes!$B$3/100)*(1+IFERROR(VLOOKUP(B332,Ajustes!$A$7:$B$24,2,FALSE),0)/100)*(1+G332/100))/Ajustes!$B$4,0)*Ajustes!$B$4))</x:f>
      </x:c>
      <x:c r="J332" t="n">
        <x:v>43</x:v>
      </x:c>
    </x:row>
    <x:row r="333">
      <x:c r="A333" t="str">
        <x:v>VS.6040.NI</x:v>
      </x:c>
      <x:c r="B333" t="str">
        <x:v>Aberturas</x:v>
      </x:c>
      <x:c r="C333" s="8" t="str">
        <x:v>Ventanas Simples Corredizas</x:v>
      </x:c>
      <x:c r="D333" s="8" t="str">
        <x:v>Ventana Simple Corrediza - MARCO NATURAL</x:v>
      </x:c>
      <x:c r="E333" s="8" t="str">
        <x:v>vs-6040-ni.png</x:v>
      </x:c>
      <x:c r="F333" s="30"/>
      <x:c r="G333" s="34" t="n">
        <x:v>0</x:v>
      </x:c>
      <x:c r="H333" s="30"/>
      <x:c r="I333" s="32" t="str">
        <x:f>IF(H333&lt;&gt;"",H333,IF(F333="","",ROUND((F333*(1+Ajustes!$B$3/100)*(1+IFERROR(VLOOKUP(B333,Ajustes!$A$7:$B$24,2,FALSE),0)/100)*(1+G333/100))/Ajustes!$B$4,0)*Ajustes!$B$4))</x:f>
      </x:c>
      <x:c r="J333" t="n">
        <x:v>43</x:v>
      </x:c>
    </x:row>
    <x:row r="334">
      <x:c r="A334" t="str">
        <x:v>VS.8050.NI</x:v>
      </x:c>
      <x:c r="B334" t="str">
        <x:v>Aberturas</x:v>
      </x:c>
      <x:c r="C334" s="8" t="str">
        <x:v>Ventanas Simples Corredizas</x:v>
      </x:c>
      <x:c r="D334" s="8" t="str">
        <x:v>Ventana Simple Corrediza - MARCO NATURAL</x:v>
      </x:c>
      <x:c r="E334" s="8" t="str">
        <x:v>vs-8050-ni.png</x:v>
      </x:c>
      <x:c r="F334" s="30"/>
      <x:c r="G334" s="34" t="n">
        <x:v>0</x:v>
      </x:c>
      <x:c r="H334" s="30"/>
      <x:c r="I334" s="32" t="str">
        <x:f>IF(H334&lt;&gt;"",H334,IF(F334="","",ROUND((F334*(1+Ajustes!$B$3/100)*(1+IFERROR(VLOOKUP(B334,Ajustes!$A$7:$B$24,2,FALSE),0)/100)*(1+G334/100))/Ajustes!$B$4,0)*Ajustes!$B$4))</x:f>
      </x:c>
      <x:c r="J334" t="n">
        <x:v>43</x:v>
      </x:c>
    </x:row>
    <x:row r="335">
      <x:c r="A335" t="str">
        <x:v>VS.10050.NI</x:v>
      </x:c>
      <x:c r="B335" t="str">
        <x:v>Aberturas</x:v>
      </x:c>
      <x:c r="C335" s="8" t="str">
        <x:v>Ventanas Simples Corredizas</x:v>
      </x:c>
      <x:c r="D335" s="8" t="str">
        <x:v>Ventana Simple Corrediza - MARCO NATURAL</x:v>
      </x:c>
      <x:c r="E335" s="8" t="str">
        <x:v>vs-10050-ni.png</x:v>
      </x:c>
      <x:c r="F335" s="30"/>
      <x:c r="G335" s="34" t="n">
        <x:v>0</x:v>
      </x:c>
      <x:c r="H335" s="30"/>
      <x:c r="I335" s="32" t="str">
        <x:f>IF(H335&lt;&gt;"",H335,IF(F335="","",ROUND((F335*(1+Ajustes!$B$3/100)*(1+IFERROR(VLOOKUP(B335,Ajustes!$A$7:$B$24,2,FALSE),0)/100)*(1+G335/100))/Ajustes!$B$4,0)*Ajustes!$B$4))</x:f>
      </x:c>
      <x:c r="J335" t="n">
        <x:v>44</x:v>
      </x:c>
    </x:row>
    <x:row r="336">
      <x:c r="A336" t="str">
        <x:v>VS.9090.NI</x:v>
      </x:c>
      <x:c r="B336" t="str">
        <x:v>Aberturas</x:v>
      </x:c>
      <x:c r="C336" s="8" t="str">
        <x:v>Ventanas Simples Corredizas</x:v>
      </x:c>
      <x:c r="D336" s="8" t="str">
        <x:v>Ventana Simple Corrediza - MARCO NATURAL</x:v>
      </x:c>
      <x:c r="E336" s="8" t="str">
        <x:v>vs-9090-ni.png</x:v>
      </x:c>
      <x:c r="F336" s="30"/>
      <x:c r="G336" s="34" t="n">
        <x:v>0</x:v>
      </x:c>
      <x:c r="H336" s="30"/>
      <x:c r="I336" s="32" t="str">
        <x:f>IF(H336&lt;&gt;"",H336,IF(F336="","",ROUND((F336*(1+Ajustes!$B$3/100)*(1+IFERROR(VLOOKUP(B336,Ajustes!$A$7:$B$24,2,FALSE),0)/100)*(1+G336/100))/Ajustes!$B$4,0)*Ajustes!$B$4))</x:f>
      </x:c>
      <x:c r="J336" t="n">
        <x:v>44</x:v>
      </x:c>
    </x:row>
    <x:row r="337">
      <x:c r="A337" t="str">
        <x:v>VF.7023.NG</x:v>
      </x:c>
      <x:c r="B337" t="str">
        <x:v>Aberturas</x:v>
      </x:c>
      <x:c r="C337" s="8" t="str">
        <x:v>Ventanas Fijas</x:v>
      </x:c>
      <x:c r="D337" s="8" t="str">
        <x:v>Ventana Fija - MARCO NEGRO</x:v>
      </x:c>
      <x:c r="E337" s="8" t="str">
        <x:v>vf-7023-ng.png</x:v>
      </x:c>
      <x:c r="F337" s="30"/>
      <x:c r="G337" s="34" t="n">
        <x:v>0</x:v>
      </x:c>
      <x:c r="H337" s="30"/>
      <x:c r="I337" s="32" t="str">
        <x:f>IF(H337&lt;&gt;"",H337,IF(F337="","",ROUND((F337*(1+Ajustes!$B$3/100)*(1+IFERROR(VLOOKUP(B337,Ajustes!$A$7:$B$24,2,FALSE),0)/100)*(1+G337/100))/Ajustes!$B$4,0)*Ajustes!$B$4))</x:f>
      </x:c>
      <x:c r="J337" t="n">
        <x:v>44</x:v>
      </x:c>
    </x:row>
    <x:row r="338">
      <x:c r="A338" t="str">
        <x:v>VF.8050.NG</x:v>
      </x:c>
      <x:c r="B338" t="str">
        <x:v>Aberturas</x:v>
      </x:c>
      <x:c r="C338" s="8" t="str">
        <x:v>Ventanas Fijas</x:v>
      </x:c>
      <x:c r="D338" s="8" t="str">
        <x:v>Ventana Fija - MARCO NEGRO</x:v>
      </x:c>
      <x:c r="E338" s="8" t="str">
        <x:v>vf-8050-ng.png</x:v>
      </x:c>
      <x:c r="F338" s="30"/>
      <x:c r="G338" s="34" t="n">
        <x:v>0</x:v>
      </x:c>
      <x:c r="H338" s="30"/>
      <x:c r="I338" s="32" t="str">
        <x:f>IF(H338&lt;&gt;"",H338,IF(F338="","",ROUND((F338*(1+Ajustes!$B$3/100)*(1+IFERROR(VLOOKUP(B338,Ajustes!$A$7:$B$24,2,FALSE),0)/100)*(1+G338/100))/Ajustes!$B$4,0)*Ajustes!$B$4))</x:f>
      </x:c>
      <x:c r="J338" t="n">
        <x:v>44</x:v>
      </x:c>
    </x:row>
    <x:row r="339">
      <x:c r="A339" t="str">
        <x:v>VF.10050.NG</x:v>
      </x:c>
      <x:c r="B339" t="str">
        <x:v>Aberturas</x:v>
      </x:c>
      <x:c r="C339" s="8" t="str">
        <x:v>Ventanas Fijas</x:v>
      </x:c>
      <x:c r="D339" s="8" t="str">
        <x:v>Ventana Fija - MARCO NEGRO</x:v>
      </x:c>
      <x:c r="E339" s="8" t="str">
        <x:v>vf-10050-ng.png</x:v>
      </x:c>
      <x:c r="F339" s="30"/>
      <x:c r="G339" s="34" t="n">
        <x:v>0</x:v>
      </x:c>
      <x:c r="H339" s="30"/>
      <x:c r="I339" s="32" t="str">
        <x:f>IF(H339&lt;&gt;"",H339,IF(F339="","",ROUND((F339*(1+Ajustes!$B$3/100)*(1+IFERROR(VLOOKUP(B339,Ajustes!$A$7:$B$24,2,FALSE),0)/100)*(1+G339/100))/Ajustes!$B$4,0)*Ajustes!$B$4))</x:f>
      </x:c>
      <x:c r="J339" t="n">
        <x:v>44</x:v>
      </x:c>
    </x:row>
    <x:row r="340">
      <x:c r="A340" t="str">
        <x:v>VF.7023.NI</x:v>
      </x:c>
      <x:c r="B340" t="str">
        <x:v>Aberturas</x:v>
      </x:c>
      <x:c r="C340" s="8" t="str">
        <x:v>Ventanas Fijas</x:v>
      </x:c>
      <x:c r="D340" s="8" t="str">
        <x:v>Ventana Fija - MARCO NATURAL</x:v>
      </x:c>
      <x:c r="E340" s="8" t="str">
        <x:v>vf-7023-ni.png</x:v>
      </x:c>
      <x:c r="F340" s="30"/>
      <x:c r="G340" s="34" t="n">
        <x:v>0</x:v>
      </x:c>
      <x:c r="H340" s="30"/>
      <x:c r="I340" s="32" t="str">
        <x:f>IF(H340&lt;&gt;"",H340,IF(F340="","",ROUND((F340*(1+Ajustes!$B$3/100)*(1+IFERROR(VLOOKUP(B340,Ajustes!$A$7:$B$24,2,FALSE),0)/100)*(1+G340/100))/Ajustes!$B$4,0)*Ajustes!$B$4))</x:f>
      </x:c>
      <x:c r="J340" t="n">
        <x:v>44</x:v>
      </x:c>
    </x:row>
    <x:row r="341">
      <x:c r="A341" t="str">
        <x:v>VF.8050.NI</x:v>
      </x:c>
      <x:c r="B341" t="str">
        <x:v>Aberturas</x:v>
      </x:c>
      <x:c r="C341" s="8" t="str">
        <x:v>Ventanas Fijas</x:v>
      </x:c>
      <x:c r="D341" s="8" t="str">
        <x:v>Ventana Fija - MARCO NATURAL</x:v>
      </x:c>
      <x:c r="E341" s="8" t="str">
        <x:v>vf-8050-ni.png</x:v>
      </x:c>
      <x:c r="F341" s="30"/>
      <x:c r="G341" s="34" t="n">
        <x:v>0</x:v>
      </x:c>
      <x:c r="H341" s="30"/>
      <x:c r="I341" s="32" t="str">
        <x:f>IF(H341&lt;&gt;"",H341,IF(F341="","",ROUND((F341*(1+Ajustes!$B$3/100)*(1+IFERROR(VLOOKUP(B341,Ajustes!$A$7:$B$24,2,FALSE),0)/100)*(1+G341/100))/Ajustes!$B$4,0)*Ajustes!$B$4))</x:f>
      </x:c>
      <x:c r="J341" t="n">
        <x:v>44</x:v>
      </x:c>
    </x:row>
    <x:row r="342">
      <x:c r="A342" t="str">
        <x:v>VF.10050.NI</x:v>
      </x:c>
      <x:c r="B342" t="str">
        <x:v>Aberturas</x:v>
      </x:c>
      <x:c r="C342" s="8" t="str">
        <x:v>Ventanas Fijas</x:v>
      </x:c>
      <x:c r="D342" s="8" t="str">
        <x:v>Ventana Fija - MARCO NATURAL</x:v>
      </x:c>
      <x:c r="E342" s="8" t="str">
        <x:v>vf-10050-ni.png</x:v>
      </x:c>
      <x:c r="F342" s="30"/>
      <x:c r="G342" s="34" t="n">
        <x:v>0</x:v>
      </x:c>
      <x:c r="H342" s="30"/>
      <x:c r="I342" s="32" t="str">
        <x:f>IF(H342&lt;&gt;"",H342,IF(F342="","",ROUND((F342*(1+Ajustes!$B$3/100)*(1+IFERROR(VLOOKUP(B342,Ajustes!$A$7:$B$24,2,FALSE),0)/100)*(1+G342/100))/Ajustes!$B$4,0)*Ajustes!$B$4))</x:f>
      </x:c>
      <x:c r="J342" t="n">
        <x:v>44</x:v>
      </x:c>
    </x:row>
    <x:row r="343">
      <x:c r="A343" t="str">
        <x:v>VOB.42</x:v>
      </x:c>
      <x:c r="B343" t="str">
        <x:v>Aberturas</x:v>
      </x:c>
      <x:c r="C343" s="8" t="str">
        <x:v>Ventanas Ojo de Buey</x:v>
      </x:c>
      <x:c r="D343" s="8" t="str">
        <x:v>Ventana Ojo de Buey 42 cm - Corredizo</x:v>
      </x:c>
      <x:c r="E343" s="8" t="str">
        <x:v>vob-42.png</x:v>
      </x:c>
      <x:c r="F343" s="30"/>
      <x:c r="G343" s="34" t="n">
        <x:v>0</x:v>
      </x:c>
      <x:c r="H343" s="30"/>
      <x:c r="I343" s="32" t="str">
        <x:f>IF(H343&lt;&gt;"",H343,IF(F343="","",ROUND((F343*(1+Ajustes!$B$3/100)*(1+IFERROR(VLOOKUP(B343,Ajustes!$A$7:$B$24,2,FALSE),0)/100)*(1+G343/100))/Ajustes!$B$4,0)*Ajustes!$B$4))</x:f>
      </x:c>
      <x:c r="J343" t="n">
        <x:v>45</x:v>
      </x:c>
    </x:row>
    <x:row r="344">
      <x:c r="A344" t="str">
        <x:v>VOB.40</x:v>
      </x:c>
      <x:c r="B344" t="str">
        <x:v>Aberturas</x:v>
      </x:c>
      <x:c r="C344" s="8" t="str">
        <x:v>Ventanas Ojo de Buey</x:v>
      </x:c>
      <x:c r="D344" s="8" t="str">
        <x:v>Ventana Ojo de Buey 40 cm - Levadizo</x:v>
      </x:c>
      <x:c r="E344" s="8" t="str">
        <x:v>vob-40.png</x:v>
      </x:c>
      <x:c r="F344" s="30"/>
      <x:c r="G344" s="34" t="n">
        <x:v>0</x:v>
      </x:c>
      <x:c r="H344" s="30"/>
      <x:c r="I344" s="32" t="str">
        <x:f>IF(H344&lt;&gt;"",H344,IF(F344="","",ROUND((F344*(1+Ajustes!$B$3/100)*(1+IFERROR(VLOOKUP(B344,Ajustes!$A$7:$B$24,2,FALSE),0)/100)*(1+G344/100))/Ajustes!$B$4,0)*Ajustes!$B$4))</x:f>
      </x:c>
      <x:c r="J344" t="n">
        <x:v>45</x:v>
      </x:c>
    </x:row>
    <x:row r="345">
      <x:c r="A345" t="str">
        <x:v>VOB.26</x:v>
      </x:c>
      <x:c r="B345" t="str">
        <x:v>Aberturas</x:v>
      </x:c>
      <x:c r="C345" s="8" t="str">
        <x:v>Ventanas Ojo de Buey</x:v>
      </x:c>
      <x:c r="D345" s="8" t="str">
        <x:v>Ventana Ojo de Buey 26 cm - Levadizo</x:v>
      </x:c>
      <x:c r="E345" s="8" t="str">
        <x:v>vob-26.png</x:v>
      </x:c>
      <x:c r="F345" s="30"/>
      <x:c r="G345" s="34" t="n">
        <x:v>0</x:v>
      </x:c>
      <x:c r="H345" s="30"/>
      <x:c r="I345" s="32" t="str">
        <x:f>IF(H345&lt;&gt;"",H345,IF(F345="","",ROUND((F345*(1+Ajustes!$B$3/100)*(1+IFERROR(VLOOKUP(B345,Ajustes!$A$7:$B$24,2,FALSE),0)/100)*(1+G345/100))/Ajustes!$B$4,0)*Ajustes!$B$4))</x:f>
      </x:c>
      <x:c r="J345" t="n">
        <x:v>45</x:v>
      </x:c>
    </x:row>
    <x:row r="346">
      <x:c r="A346" t="str">
        <x:v>A.3535.EVMC</x:v>
      </x:c>
      <x:c r="B346" t="str">
        <x:v>Ventilación</x:v>
      </x:c>
      <x:c r="C346" s="8" t="str">
        <x:v>Aireadores con Extractor y Ventilador</x:v>
      </x:c>
      <x:c r="D346" s="8" t="str">
        <x:v>Aireador 35x35 cm</x:v>
      </x:c>
      <x:c r="E346" s="8" t="str">
        <x:v>a-3535-evmc.png</x:v>
      </x:c>
      <x:c r="F346" s="30"/>
      <x:c r="G346" s="34" t="n">
        <x:v>0</x:v>
      </x:c>
      <x:c r="H346" s="30"/>
      <x:c r="I346" s="32" t="str">
        <x:f>IF(H346&lt;&gt;"",H346,IF(F346="","",ROUND((F346*(1+Ajustes!$B$3/100)*(1+IFERROR(VLOOKUP(B346,Ajustes!$A$7:$B$24,2,FALSE),0)/100)*(1+G346/100))/Ajustes!$B$4,0)*Ajustes!$B$4))</x:f>
      </x:c>
      <x:c r="J346" t="n">
        <x:v>45</x:v>
      </x:c>
    </x:row>
    <x:row r="347">
      <x:c r="A347" t="str">
        <x:v>A.3535.EVM</x:v>
      </x:c>
      <x:c r="B347" t="str">
        <x:v>Ventilación</x:v>
      </x:c>
      <x:c r="C347" s="8" t="str">
        <x:v>Aireadores con Extractor y Ventilador</x:v>
      </x:c>
      <x:c r="D347" s="8" t="str">
        <x:v>Aireador 35x35 cm</x:v>
      </x:c>
      <x:c r="E347" s="8" t="str">
        <x:v>a-3535-evm.png</x:v>
      </x:c>
      <x:c r="F347" s="30"/>
      <x:c r="G347" s="34" t="n">
        <x:v>0</x:v>
      </x:c>
      <x:c r="H347" s="30"/>
      <x:c r="I347" s="32" t="str">
        <x:f>IF(H347&lt;&gt;"",H347,IF(F347="","",ROUND((F347*(1+Ajustes!$B$3/100)*(1+IFERROR(VLOOKUP(B347,Ajustes!$A$7:$B$24,2,FALSE),0)/100)*(1+G347/100))/Ajustes!$B$4,0)*Ajustes!$B$4))</x:f>
      </x:c>
      <x:c r="J347" t="n">
        <x:v>45</x:v>
      </x:c>
    </x:row>
    <x:row r="348">
      <x:c r="A348" t="str">
        <x:v>A.3535.EVMCB</x:v>
      </x:c>
      <x:c r="B348" t="str">
        <x:v>Ventilación</x:v>
      </x:c>
      <x:c r="C348" s="8" t="str">
        <x:v>Aireadores con Extractor y Ventilador</x:v>
      </x:c>
      <x:c r="D348" s="8" t="str">
        <x:v>Aireador 35x35 cm</x:v>
      </x:c>
      <x:c r="E348" s="8" t="str">
        <x:v>a-3535-evmcb.png</x:v>
      </x:c>
      <x:c r="F348" s="30"/>
      <x:c r="G348" s="34" t="n">
        <x:v>0</x:v>
      </x:c>
      <x:c r="H348" s="30"/>
      <x:c r="I348" s="32" t="str">
        <x:f>IF(H348&lt;&gt;"",H348,IF(F348="","",ROUND((F348*(1+Ajustes!$B$3/100)*(1+IFERROR(VLOOKUP(B348,Ajustes!$A$7:$B$24,2,FALSE),0)/100)*(1+G348/100))/Ajustes!$B$4,0)*Ajustes!$B$4))</x:f>
      </x:c>
      <x:c r="J348" t="n">
        <x:v>45</x:v>
      </x:c>
    </x:row>
    <x:row r="349">
      <x:c r="A349" t="str">
        <x:v>A.2828.EVM</x:v>
      </x:c>
      <x:c r="B349" t="str">
        <x:v>Ventilación</x:v>
      </x:c>
      <x:c r="C349" s="8" t="str">
        <x:v>Aireadores con Extractor y Ventilador</x:v>
      </x:c>
      <x:c r="D349" s="8" t="str">
        <x:v>Aireador 28x28 cm</x:v>
      </x:c>
      <x:c r="E349" s="8" t="str">
        <x:v>a-2828-evm.png</x:v>
      </x:c>
      <x:c r="F349" s="30"/>
      <x:c r="G349" s="34" t="n">
        <x:v>0</x:v>
      </x:c>
      <x:c r="H349" s="30"/>
      <x:c r="I349" s="32" t="str">
        <x:f>IF(H349&lt;&gt;"",H349,IF(F349="","",ROUND((F349*(1+Ajustes!$B$3/100)*(1+IFERROR(VLOOKUP(B349,Ajustes!$A$7:$B$24,2,FALSE),0)/100)*(1+G349/100))/Ajustes!$B$4,0)*Ajustes!$B$4))</x:f>
      </x:c>
      <x:c r="J349" t="n">
        <x:v>45</x:v>
      </x:c>
    </x:row>
    <x:row r="350">
      <x:c r="A350" t="str">
        <x:v>A.3535.EMB</x:v>
      </x:c>
      <x:c r="B350" t="str">
        <x:v>Ventilación</x:v>
      </x:c>
      <x:c r="C350" s="8" t="str">
        <x:v>Aireadores con Extractor</x:v>
      </x:c>
      <x:c r="D350" s="8" t="str">
        <x:v>Aireador 35x35 cm - C/Extractor y Mosquitero</x:v>
      </x:c>
      <x:c r="E350" s="8" t="str">
        <x:v>a-3535-emb.png</x:v>
      </x:c>
      <x:c r="F350" s="30"/>
      <x:c r="G350" s="34" t="n">
        <x:v>0</x:v>
      </x:c>
      <x:c r="H350" s="30"/>
      <x:c r="I350" s="32" t="str">
        <x:f>IF(H350&lt;&gt;"",H350,IF(F350="","",ROUND((F350*(1+Ajustes!$B$3/100)*(1+IFERROR(VLOOKUP(B350,Ajustes!$A$7:$B$24,2,FALSE),0)/100)*(1+G350/100))/Ajustes!$B$4,0)*Ajustes!$B$4))</x:f>
      </x:c>
      <x:c r="J350" t="n">
        <x:v>46</x:v>
      </x:c>
    </x:row>
    <x:row r="351">
      <x:c r="A351" t="str">
        <x:v>A.3535.EMT</x:v>
      </x:c>
      <x:c r="B351" t="str">
        <x:v>Ventilación</x:v>
      </x:c>
      <x:c r="C351" s="8" t="str">
        <x:v>Aireadores con Extractor</x:v>
      </x:c>
      <x:c r="D351" s="8" t="str">
        <x:v>Aireador 35x35 cm - C/Extractor y Mosquitero</x:v>
      </x:c>
      <x:c r="E351" s="8" t="str">
        <x:v>a-3535-emt.png</x:v>
      </x:c>
      <x:c r="F351" s="30"/>
      <x:c r="G351" s="34" t="n">
        <x:v>0</x:v>
      </x:c>
      <x:c r="H351" s="30"/>
      <x:c r="I351" s="32" t="str">
        <x:f>IF(H351&lt;&gt;"",H351,IF(F351="","",ROUND((F351*(1+Ajustes!$B$3/100)*(1+IFERROR(VLOOKUP(B351,Ajustes!$A$7:$B$24,2,FALSE),0)/100)*(1+G351/100))/Ajustes!$B$4,0)*Ajustes!$B$4))</x:f>
      </x:c>
      <x:c r="J351" t="n">
        <x:v>46</x:v>
      </x:c>
    </x:row>
    <x:row r="352">
      <x:c r="A352" t="str">
        <x:v>A.5070.BLM</x:v>
      </x:c>
      <x:c r="B352" t="str">
        <x:v>Ventilación</x:v>
      </x:c>
      <x:c r="C352" s="8" t="str">
        <x:v>Aireadores con Cortina Black Out</x:v>
      </x:c>
      <x:c r="D352" s="8" t="str">
        <x:v>Aireador 50x70 cm - C/Black Out, Luz y Mosquitero</x:v>
      </x:c>
      <x:c r="E352" s="8" t="str">
        <x:v>a-5070-blm.png</x:v>
      </x:c>
      <x:c r="F352" s="30"/>
      <x:c r="G352" s="34" t="n">
        <x:v>0</x:v>
      </x:c>
      <x:c r="H352" s="30"/>
      <x:c r="I352" s="32" t="str">
        <x:f>IF(H352&lt;&gt;"",H352,IF(F352="","",ROUND((F352*(1+Ajustes!$B$3/100)*(1+IFERROR(VLOOKUP(B352,Ajustes!$A$7:$B$24,2,FALSE),0)/100)*(1+G352/100))/Ajustes!$B$4,0)*Ajustes!$B$4))</x:f>
      </x:c>
      <x:c r="J352" t="n">
        <x:v>46</x:v>
      </x:c>
    </x:row>
    <x:row r="353">
      <x:c r="A353" t="str">
        <x:v>A.4040.BLM</x:v>
      </x:c>
      <x:c r="B353" t="str">
        <x:v>Ventilación</x:v>
      </x:c>
      <x:c r="C353" s="8" t="str">
        <x:v>Aireadores con Cortina Black Out</x:v>
      </x:c>
      <x:c r="D353" s="8" t="str">
        <x:v>Aireador 40x40 cm - C/Black Out, Luz y Mosquitero</x:v>
      </x:c>
      <x:c r="E353" s="8" t="str">
        <x:v>a-4040-blm.png</x:v>
      </x:c>
      <x:c r="F353" s="30"/>
      <x:c r="G353" s="34" t="n">
        <x:v>0</x:v>
      </x:c>
      <x:c r="H353" s="30"/>
      <x:c r="I353" s="32" t="str">
        <x:f>IF(H353&lt;&gt;"",H353,IF(F353="","",ROUND((F353*(1+Ajustes!$B$3/100)*(1+IFERROR(VLOOKUP(B353,Ajustes!$A$7:$B$24,2,FALSE),0)/100)*(1+G353/100))/Ajustes!$B$4,0)*Ajustes!$B$4))</x:f>
      </x:c>
      <x:c r="J353" t="n">
        <x:v>46</x:v>
      </x:c>
    </x:row>
    <x:row r="354">
      <x:c r="A354" t="str">
        <x:v>A.5050.EC</x:v>
      </x:c>
      <x:c r="B354" t="str">
        <x:v>Ventilación</x:v>
      </x:c>
      <x:c r="C354" s="8" t="str">
        <x:v>Aireadores Expulsables</x:v>
      </x:c>
      <x:c r="D354" s="8" t="str">
        <x:v>Aireador 50X50 cm - Tapa de Expulsable Cataforesis</x:v>
      </x:c>
      <x:c r="E354" s="8" t="str">
        <x:v>a-5050-ec.png</x:v>
      </x:c>
      <x:c r="F354" s="30"/>
      <x:c r="G354" s="34" t="n">
        <x:v>0</x:v>
      </x:c>
      <x:c r="H354" s="30"/>
      <x:c r="I354" s="32" t="str">
        <x:f>IF(H354&lt;&gt;"",H354,IF(F354="","",ROUND((F354*(1+Ajustes!$B$3/100)*(1+IFERROR(VLOOKUP(B354,Ajustes!$A$7:$B$24,2,FALSE),0)/100)*(1+G354/100))/Ajustes!$B$4,0)*Ajustes!$B$4))</x:f>
      </x:c>
      <x:c r="J354" t="n">
        <x:v>46</x:v>
      </x:c>
    </x:row>
    <x:row r="355">
      <x:c r="A355" t="str">
        <x:v>A.2030.V</x:v>
      </x:c>
      <x:c r="B355" t="str">
        <x:v>Ventilación</x:v>
      </x:c>
      <x:c r="C355" s="8" t="str">
        <x:v>Aireadores Simples de Vidrio</x:v>
      </x:c>
      <x:c r="D355" s="8" t="str">
        <x:v>Aireador 20x30 cm - Tapa de Vidrio</x:v>
      </x:c>
      <x:c r="E355" s="8" t="str">
        <x:v>a-2030-v.png</x:v>
      </x:c>
      <x:c r="F355" s="30"/>
      <x:c r="G355" s="34" t="n">
        <x:v>0</x:v>
      </x:c>
      <x:c r="H355" s="30"/>
      <x:c r="I355" s="32" t="str">
        <x:f>IF(H355&lt;&gt;"",H355,IF(F355="","",ROUND((F355*(1+Ajustes!$B$3/100)*(1+IFERROR(VLOOKUP(B355,Ajustes!$A$7:$B$24,2,FALSE),0)/100)*(1+G355/100))/Ajustes!$B$4,0)*Ajustes!$B$4))</x:f>
      </x:c>
      <x:c r="J355" t="n">
        <x:v>46</x:v>
      </x:c>
    </x:row>
    <x:row r="356">
      <x:c r="A356" t="str">
        <x:v>A.3535.V</x:v>
      </x:c>
      <x:c r="B356" t="str">
        <x:v>Ventilación</x:v>
      </x:c>
      <x:c r="C356" s="8" t="str">
        <x:v>Aireadores Simples de Vidrio</x:v>
      </x:c>
      <x:c r="D356" s="8" t="str">
        <x:v>Aireador 35x35 cm - Tapa de Vidrio</x:v>
      </x:c>
      <x:c r="E356" s="8" t="str">
        <x:v>a-3535-v.png</x:v>
      </x:c>
      <x:c r="F356" s="30"/>
      <x:c r="G356" s="34" t="n">
        <x:v>0</x:v>
      </x:c>
      <x:c r="H356" s="30"/>
      <x:c r="I356" s="32" t="str">
        <x:f>IF(H356&lt;&gt;"",H356,IF(F356="","",ROUND((F356*(1+Ajustes!$B$3/100)*(1+IFERROR(VLOOKUP(B356,Ajustes!$A$7:$B$24,2,FALSE),0)/100)*(1+G356/100))/Ajustes!$B$4,0)*Ajustes!$B$4))</x:f>
      </x:c>
      <x:c r="J356" t="n">
        <x:v>46</x:v>
      </x:c>
    </x:row>
    <x:row r="357">
      <x:c r="A357" t="str">
        <x:v>A.3550.V</x:v>
      </x:c>
      <x:c r="B357" t="str">
        <x:v>Ventilación</x:v>
      </x:c>
      <x:c r="C357" s="8" t="str">
        <x:v>Aireadores Simples de Vidrio</x:v>
      </x:c>
      <x:c r="D357" s="8" t="str">
        <x:v>Aireador 35x50 cm - Tapa de Vidrio</x:v>
      </x:c>
      <x:c r="E357" s="8" t="str">
        <x:v>a-3550-v.png</x:v>
      </x:c>
      <x:c r="F357" s="30"/>
      <x:c r="G357" s="34" t="n">
        <x:v>0</x:v>
      </x:c>
      <x:c r="H357" s="30"/>
      <x:c r="I357" s="32" t="str">
        <x:f>IF(H357&lt;&gt;"",H357,IF(F357="","",ROUND((F357*(1+Ajustes!$B$3/100)*(1+IFERROR(VLOOKUP(B357,Ajustes!$A$7:$B$24,2,FALSE),0)/100)*(1+G357/100))/Ajustes!$B$4,0)*Ajustes!$B$4))</x:f>
      </x:c>
      <x:c r="J357" t="n">
        <x:v>47</x:v>
      </x:c>
    </x:row>
    <x:row r="358">
      <x:c r="A358" t="str">
        <x:v>A.5050.V</x:v>
      </x:c>
      <x:c r="B358" t="str">
        <x:v>Ventilación</x:v>
      </x:c>
      <x:c r="C358" s="8" t="str">
        <x:v>Aireadores Simples de Vidrio</x:v>
      </x:c>
      <x:c r="D358" s="8" t="str">
        <x:v>Aireador 50x50 cm - Tapa de Vidrio</x:v>
      </x:c>
      <x:c r="E358" s="8" t="str">
        <x:v>a-5050-v.png</x:v>
      </x:c>
      <x:c r="F358" s="30"/>
      <x:c r="G358" s="34" t="n">
        <x:v>0</x:v>
      </x:c>
      <x:c r="H358" s="30"/>
      <x:c r="I358" s="32" t="str">
        <x:f>IF(H358&lt;&gt;"",H358,IF(F358="","",ROUND((F358*(1+Ajustes!$B$3/100)*(1+IFERROR(VLOOKUP(B358,Ajustes!$A$7:$B$24,2,FALSE),0)/100)*(1+G358/100))/Ajustes!$B$4,0)*Ajustes!$B$4))</x:f>
      </x:c>
      <x:c r="J358" t="n">
        <x:v>47</x:v>
      </x:c>
    </x:row>
    <x:row r="359">
      <x:c r="A359" t="str">
        <x:v>A.2030.A</x:v>
      </x:c>
      <x:c r="B359" t="str">
        <x:v>Ventilación</x:v>
      </x:c>
      <x:c r="C359" s="8" t="str">
        <x:v>Aireadores Simples de Acrilico</x:v>
      </x:c>
      <x:c r="D359" s="8" t="str">
        <x:v>Aireador 20x30 cm - Tapa de Acrilico</x:v>
      </x:c>
      <x:c r="E359" s="8" t="str">
        <x:v>a-2030-a.png</x:v>
      </x:c>
      <x:c r="F359" s="30"/>
      <x:c r="G359" s="34" t="n">
        <x:v>0</x:v>
      </x:c>
      <x:c r="H359" s="30"/>
      <x:c r="I359" s="32" t="str">
        <x:f>IF(H359&lt;&gt;"",H359,IF(F359="","",ROUND((F359*(1+Ajustes!$B$3/100)*(1+IFERROR(VLOOKUP(B359,Ajustes!$A$7:$B$24,2,FALSE),0)/100)*(1+G359/100))/Ajustes!$B$4,0)*Ajustes!$B$4))</x:f>
      </x:c>
      <x:c r="J359" t="n">
        <x:v>47</x:v>
      </x:c>
    </x:row>
    <x:row r="360">
      <x:c r="A360" t="str">
        <x:v>A.3550.A</x:v>
      </x:c>
      <x:c r="B360" t="str">
        <x:v>Ventilación</x:v>
      </x:c>
      <x:c r="C360" s="8" t="str">
        <x:v>Aireadores Simples de Acrilico</x:v>
      </x:c>
      <x:c r="D360" s="8" t="str">
        <x:v>Aireador 35x50 cm - Tapa de Acrilico</x:v>
      </x:c>
      <x:c r="E360" s="8" t="str">
        <x:v>a-3550-a.png</x:v>
      </x:c>
      <x:c r="F360" s="30"/>
      <x:c r="G360" s="34" t="n">
        <x:v>0</x:v>
      </x:c>
      <x:c r="H360" s="30"/>
      <x:c r="I360" s="32" t="str">
        <x:f>IF(H360&lt;&gt;"",H360,IF(F360="","",ROUND((F360*(1+Ajustes!$B$3/100)*(1+IFERROR(VLOOKUP(B360,Ajustes!$A$7:$B$24,2,FALSE),0)/100)*(1+G360/100))/Ajustes!$B$4,0)*Ajustes!$B$4))</x:f>
      </x:c>
      <x:c r="J360" t="n">
        <x:v>47</x:v>
      </x:c>
    </x:row>
    <x:row r="361">
      <x:c r="A361" t="str">
        <x:v>A.3550.C</x:v>
      </x:c>
      <x:c r="B361" t="str">
        <x:v>Ventilación</x:v>
      </x:c>
      <x:c r="C361" s="8" t="str">
        <x:v>Aireadores Simples de Chapa</x:v>
      </x:c>
      <x:c r="D361" s="8" t="str">
        <x:v>Aireador 35x50 cm - Tapa de Chapa Cataforesis</x:v>
      </x:c>
      <x:c r="E361" s="8" t="str">
        <x:v>a-3550-c.png</x:v>
      </x:c>
      <x:c r="F361" s="30"/>
      <x:c r="G361" s="34" t="n">
        <x:v>0</x:v>
      </x:c>
      <x:c r="H361" s="30"/>
      <x:c r="I361" s="32" t="str">
        <x:f>IF(H361&lt;&gt;"",H361,IF(F361="","",ROUND((F361*(1+Ajustes!$B$3/100)*(1+IFERROR(VLOOKUP(B361,Ajustes!$A$7:$B$24,2,FALSE),0)/100)*(1+G361/100))/Ajustes!$B$4,0)*Ajustes!$B$4))</x:f>
      </x:c>
      <x:c r="J361" t="n">
        <x:v>47</x:v>
      </x:c>
    </x:row>
    <x:row r="362">
      <x:c r="A362" t="str">
        <x:v>A.2030.ABS</x:v>
      </x:c>
      <x:c r="B362" t="str">
        <x:v>Ventilación</x:v>
      </x:c>
      <x:c r="C362" s="8" t="str">
        <x:v>Aireadores Simples de Plastico</x:v>
      </x:c>
      <x:c r="D362" s="8" t="str">
        <x:v>Aireador 20x30 cm - Tapa Plastica ABS Blanca</x:v>
      </x:c>
      <x:c r="E362" s="8" t="str">
        <x:v>a-2030-abs.png</x:v>
      </x:c>
      <x:c r="F362" s="30"/>
      <x:c r="G362" s="34" t="n">
        <x:v>0</x:v>
      </x:c>
      <x:c r="H362" s="30"/>
      <x:c r="I362" s="32" t="str">
        <x:f>IF(H362&lt;&gt;"",H362,IF(F362="","",ROUND((F362*(1+Ajustes!$B$3/100)*(1+IFERROR(VLOOKUP(B362,Ajustes!$A$7:$B$24,2,FALSE),0)/100)*(1+G362/100))/Ajustes!$B$4,0)*Ajustes!$B$4))</x:f>
      </x:c>
      <x:c r="J362" t="n">
        <x:v>47</x:v>
      </x:c>
    </x:row>
    <x:row r="363">
      <x:c r="A363" t="str">
        <x:v>A.3535.MT</x:v>
      </x:c>
      <x:c r="B363" t="str">
        <x:v>Ventilación</x:v>
      </x:c>
      <x:c r="C363" s="8" t="str">
        <x:v>Aireadores Simples de Plastico</x:v>
      </x:c>
      <x:c r="D363" s="8" t="str">
        <x:v>Aireador 35x35 cm - C/Mosquitero</x:v>
      </x:c>
      <x:c r="E363" s="8" t="str">
        <x:v>a-3535-mt.png</x:v>
      </x:c>
      <x:c r="F363" s="30"/>
      <x:c r="G363" s="34" t="n">
        <x:v>0</x:v>
      </x:c>
      <x:c r="H363" s="30"/>
      <x:c r="I363" s="32" t="str">
        <x:f>IF(H363&lt;&gt;"",H363,IF(F363="","",ROUND((F363*(1+Ajustes!$B$3/100)*(1+IFERROR(VLOOKUP(B363,Ajustes!$A$7:$B$24,2,FALSE),0)/100)*(1+G363/100))/Ajustes!$B$4,0)*Ajustes!$B$4))</x:f>
      </x:c>
      <x:c r="J363" t="n">
        <x:v>47</x:v>
      </x:c>
    </x:row>
    <x:row r="364">
      <x:c r="A364" t="str">
        <x:v>A.3535.MB</x:v>
      </x:c>
      <x:c r="B364" t="str">
        <x:v>Ventilación</x:v>
      </x:c>
      <x:c r="C364" s="8" t="str">
        <x:v>Aireadores Simples de Plastico</x:v>
      </x:c>
      <x:c r="D364" s="8" t="str">
        <x:v>Aireador 35x35 cm - C/Mosquitero</x:v>
      </x:c>
      <x:c r="E364" s="8" t="str">
        <x:v>a-3535-mb.png</x:v>
      </x:c>
      <x:c r="F364" s="30"/>
      <x:c r="G364" s="34" t="n">
        <x:v>0</x:v>
      </x:c>
      <x:c r="H364" s="30"/>
      <x:c r="I364" s="32" t="str">
        <x:f>IF(H364&lt;&gt;"",H364,IF(F364="","",ROUND((F364*(1+Ajustes!$B$3/100)*(1+IFERROR(VLOOKUP(B364,Ajustes!$A$7:$B$24,2,FALSE),0)/100)*(1+G364/100))/Ajustes!$B$4,0)*Ajustes!$B$4))</x:f>
      </x:c>
      <x:c r="J364" t="n">
        <x:v>48</x:v>
      </x:c>
    </x:row>
    <x:row r="365">
      <x:c r="A365" t="str">
        <x:v>ETH.12</x:v>
      </x:c>
      <x:c r="B365" t="str">
        <x:v>Ventilación</x:v>
      </x:c>
      <x:c r="C365" s="8" t="str">
        <x:v>Extractores</x:v>
      </x:c>
      <x:c r="D365" s="8" t="str">
        <x:v>Extractor 12v Tipo Hongo 10"</x:v>
      </x:c>
      <x:c r="E365" s="8" t="str">
        <x:v>eth-12.png</x:v>
      </x:c>
      <x:c r="F365" s="30"/>
      <x:c r="G365" s="34" t="n">
        <x:v>0</x:v>
      </x:c>
      <x:c r="H365" s="30"/>
      <x:c r="I365" s="32" t="str">
        <x:f>IF(H365&lt;&gt;"",H365,IF(F365="","",ROUND((F365*(1+Ajustes!$B$3/100)*(1+IFERROR(VLOOKUP(B365,Ajustes!$A$7:$B$24,2,FALSE),0)/100)*(1+G365/100))/Ajustes!$B$4,0)*Ajustes!$B$4))</x:f>
      </x:c>
      <x:c r="J365" t="n">
        <x:v>48</x:v>
      </x:c>
    </x:row>
    <x:row r="366">
      <x:c r="A366" t="str">
        <x:v>ES.21.7</x:v>
      </x:c>
      <x:c r="B366" t="str">
        <x:v>Baterías</x:v>
      </x:c>
      <x:c r="C366" s="8" t="str">
        <x:v>Extractores</x:v>
      </x:c>
      <x:c r="D366" s="8" t="str">
        <x:v>Extractor C/Panel Solar, Bateria e Interruptor</x:v>
      </x:c>
      <x:c r="E366" s="8" t="str">
        <x:v>es-21-7.png</x:v>
      </x:c>
      <x:c r="F366" s="30"/>
      <x:c r="G366" s="34" t="n">
        <x:v>0</x:v>
      </x:c>
      <x:c r="H366" s="30"/>
      <x:c r="I366" s="32" t="str">
        <x:f>IF(H366&lt;&gt;"",H366,IF(F366="","",ROUND((F366*(1+Ajustes!$B$3/100)*(1+IFERROR(VLOOKUP(B366,Ajustes!$A$7:$B$24,2,FALSE),0)/100)*(1+G366/100))/Ajustes!$B$4,0)*Ajustes!$B$4))</x:f>
      </x:c>
      <x:c r="J366" t="n">
        <x:v>48</x:v>
      </x:c>
    </x:row>
    <x:row r="367">
      <x:c r="A367" t="str">
        <x:v>EL.12</x:v>
      </x:c>
      <x:c r="B367" t="str">
        <x:v>Ventilación</x:v>
      </x:c>
      <x:c r="C367" s="8" t="str">
        <x:v>Extractores</x:v>
      </x:c>
      <x:c r="D367" s="8" t="str">
        <x:v>Extractor 12v Lateral TMC</x:v>
      </x:c>
      <x:c r="E367" s="8" t="str">
        <x:v>el-12.png</x:v>
      </x:c>
      <x:c r="F367" s="30"/>
      <x:c r="G367" s="34" t="n">
        <x:v>0</x:v>
      </x:c>
      <x:c r="H367" s="30"/>
      <x:c r="I367" s="32" t="str">
        <x:f>IF(H367&lt;&gt;"",H367,IF(F367="","",ROUND((F367*(1+Ajustes!$B$3/100)*(1+IFERROR(VLOOKUP(B367,Ajustes!$A$7:$B$24,2,FALSE),0)/100)*(1+G367/100))/Ajustes!$B$4,0)*Ajustes!$B$4))</x:f>
      </x:c>
      <x:c r="J367" t="n">
        <x:v>48</x:v>
      </x:c>
    </x:row>
    <x:row r="368">
      <x:c r="A368" t="str">
        <x:v>RDN</x:v>
      </x:c>
      <x:c r="B368" t="str">
        <x:v>Ventilación</x:v>
      </x:c>
      <x:c r="C368" s="8" t="str">
        <x:v>Rejillas</x:v>
      </x:c>
      <x:c r="D368" s="8" t="str">
        <x:v>Rejilla Fija ABS Doble 26x12,5 cm</x:v>
      </x:c>
      <x:c r="E368" s="8" t="str">
        <x:v>rdn.png</x:v>
      </x:c>
      <x:c r="F368" s="30"/>
      <x:c r="G368" s="34" t="n">
        <x:v>0</x:v>
      </x:c>
      <x:c r="H368" s="30"/>
      <x:c r="I368" s="32" t="str">
        <x:f>IF(H368&lt;&gt;"",H368,IF(F368="","",ROUND((F368*(1+Ajustes!$B$3/100)*(1+IFERROR(VLOOKUP(B368,Ajustes!$A$7:$B$24,2,FALSE),0)/100)*(1+G368/100))/Ajustes!$B$4,0)*Ajustes!$B$4))</x:f>
      </x:c>
      <x:c r="J368" t="n">
        <x:v>48</x:v>
      </x:c>
    </x:row>
    <x:row r="369">
      <x:c r="A369" t="str">
        <x:v>RDB</x:v>
      </x:c>
      <x:c r="B369" t="str">
        <x:v>Ventilación</x:v>
      </x:c>
      <x:c r="C369" s="8" t="str">
        <x:v>Rejillas</x:v>
      </x:c>
      <x:c r="D369" s="8" t="str">
        <x:v>Rejilla Fija ABS Doble 26x12,5 cm</x:v>
      </x:c>
      <x:c r="E369" s="8" t="str">
        <x:v>rdb.png</x:v>
      </x:c>
      <x:c r="F369" s="30"/>
      <x:c r="G369" s="34" t="n">
        <x:v>0</x:v>
      </x:c>
      <x:c r="H369" s="30"/>
      <x:c r="I369" s="32" t="str">
        <x:f>IF(H369&lt;&gt;"",H369,IF(F369="","",ROUND((F369*(1+Ajustes!$B$3/100)*(1+IFERROR(VLOOKUP(B369,Ajustes!$A$7:$B$24,2,FALSE),0)/100)*(1+G369/100))/Ajustes!$B$4,0)*Ajustes!$B$4))</x:f>
      </x:c>
      <x:c r="J369" t="n">
        <x:v>48</x:v>
      </x:c>
    </x:row>
    <x:row r="370">
      <x:c r="A370" t="str">
        <x:v>RSN</x:v>
      </x:c>
      <x:c r="B370" t="str">
        <x:v>Ventilación</x:v>
      </x:c>
      <x:c r="C370" s="8" t="str">
        <x:v>Rejillas</x:v>
      </x:c>
      <x:c r="D370" s="8" t="str">
        <x:v>Rejilla Fija ABS Simple 14,3x12,5 cm</x:v>
      </x:c>
      <x:c r="E370" s="8" t="str">
        <x:v>rsn.png</x:v>
      </x:c>
      <x:c r="F370" s="30"/>
      <x:c r="G370" s="34" t="n">
        <x:v>0</x:v>
      </x:c>
      <x:c r="H370" s="30"/>
      <x:c r="I370" s="32" t="str">
        <x:f>IF(H370&lt;&gt;"",H370,IF(F370="","",ROUND((F370*(1+Ajustes!$B$3/100)*(1+IFERROR(VLOOKUP(B370,Ajustes!$A$7:$B$24,2,FALSE),0)/100)*(1+G370/100))/Ajustes!$B$4,0)*Ajustes!$B$4))</x:f>
      </x:c>
      <x:c r="J370" t="n">
        <x:v>48</x:v>
      </x:c>
    </x:row>
    <x:row r="371">
      <x:c r="A371" t="str">
        <x:v>RSB</x:v>
      </x:c>
      <x:c r="B371" t="str">
        <x:v>Ventilación</x:v>
      </x:c>
      <x:c r="C371" s="8" t="str">
        <x:v>Rejillas</x:v>
      </x:c>
      <x:c r="D371" s="8" t="str">
        <x:v>Rejilla Fija ABS Simple 14,3x12,5 cm</x:v>
      </x:c>
      <x:c r="E371" s="8" t="str">
        <x:v>rsb.png</x:v>
      </x:c>
      <x:c r="F371" s="30"/>
      <x:c r="G371" s="34" t="n">
        <x:v>0</x:v>
      </x:c>
      <x:c r="H371" s="30"/>
      <x:c r="I371" s="32" t="str">
        <x:f>IF(H371&lt;&gt;"",H371,IF(F371="","",ROUND((F371*(1+Ajustes!$B$3/100)*(1+IFERROR(VLOOKUP(B371,Ajustes!$A$7:$B$24,2,FALSE),0)/100)*(1+G371/100))/Ajustes!$B$4,0)*Ajustes!$B$4))</x:f>
      </x:c>
      <x:c r="J371" t="n">
        <x:v>48</x:v>
      </x:c>
    </x:row>
    <x:row r="372">
      <x:c r="A372" t="str">
        <x:v>C.PA.E</x:v>
      </x:c>
      <x:c r="B372" t="str">
        <x:v>Aberturas</x:v>
      </x:c>
      <x:c r="C372" s="8" t="str">
        <x:v>Cerraduras para Puertas de Acceso</x:v>
      </x:c>
      <x:c r="D372" s="8" t="str">
        <x:v>Cerradura P/Puerta de Acceso Electronica C/Control</x:v>
      </x:c>
      <x:c r="E372" s="8" t="str">
        <x:v>c-pa-e.png</x:v>
      </x:c>
      <x:c r="F372" s="30"/>
      <x:c r="G372" s="34" t="n">
        <x:v>0</x:v>
      </x:c>
      <x:c r="H372" s="30"/>
      <x:c r="I372" s="32" t="str">
        <x:f>IF(H372&lt;&gt;"",H372,IF(F372="","",ROUND((F372*(1+Ajustes!$B$3/100)*(1+IFERROR(VLOOKUP(B372,Ajustes!$A$7:$B$24,2,FALSE),0)/100)*(1+G372/100))/Ajustes!$B$4,0)*Ajustes!$B$4))</x:f>
      </x:c>
      <x:c r="J372" t="n">
        <x:v>49</x:v>
      </x:c>
    </x:row>
    <x:row r="373">
      <x:c r="A373" t="str">
        <x:v>C.PA.R</x:v>
      </x:c>
      <x:c r="B373" t="str">
        <x:v>Aberturas</x:v>
      </x:c>
      <x:c r="C373" s="8" t="str">
        <x:v>Cerraduras para Puertas de Acceso</x:v>
      </x:c>
      <x:c r="D373" s="8" t="str">
        <x:v>Cerradura P/Puerta de acceso C/Llave y Traba Interior Tipo Picaporte</x:v>
      </x:c>
      <x:c r="E373" s="8" t="str">
        <x:v>c-pa-r.png</x:v>
      </x:c>
      <x:c r="F373" s="30"/>
      <x:c r="G373" s="34" t="n">
        <x:v>0</x:v>
      </x:c>
      <x:c r="H373" s="30"/>
      <x:c r="I373" s="32" t="str">
        <x:f>IF(H373&lt;&gt;"",H373,IF(F373="","",ROUND((F373*(1+Ajustes!$B$3/100)*(1+IFERROR(VLOOKUP(B373,Ajustes!$A$7:$B$24,2,FALSE),0)/100)*(1+G373/100))/Ajustes!$B$4,0)*Ajustes!$B$4))</x:f>
      </x:c>
      <x:c r="J373" t="n">
        <x:v>49</x:v>
      </x:c>
    </x:row>
    <x:row r="374">
      <x:c r="A374" t="str">
        <x:v>C.PA.LC</x:v>
      </x:c>
      <x:c r="B374" t="str">
        <x:v>Aberturas</x:v>
      </x:c>
      <x:c r="C374" s="8" t="str">
        <x:v>Cerraduras para Puertas de Acceso</x:v>
      </x:c>
      <x:c r="D374" s="8" t="str">
        <x:v>Cerradura P/Puerta de acceso C/Llave y Traba Interior</x:v>
      </x:c>
      <x:c r="E374" s="8" t="str">
        <x:v>c-pa-lc.png</x:v>
      </x:c>
      <x:c r="F374" s="30"/>
      <x:c r="G374" s="34" t="n">
        <x:v>0</x:v>
      </x:c>
      <x:c r="H374" s="30"/>
      <x:c r="I374" s="32" t="str">
        <x:f>IF(H374&lt;&gt;"",H374,IF(F374="","",ROUND((F374*(1+Ajustes!$B$3/100)*(1+IFERROR(VLOOKUP(B374,Ajustes!$A$7:$B$24,2,FALSE),0)/100)*(1+G374/100))/Ajustes!$B$4,0)*Ajustes!$B$4))</x:f>
      </x:c>
      <x:c r="J374" t="n">
        <x:v>49</x:v>
      </x:c>
    </x:row>
    <x:row r="375">
      <x:c r="A375" t="str">
        <x:v>C.PA.LN</x:v>
      </x:c>
      <x:c r="B375" t="str">
        <x:v>Aberturas</x:v>
      </x:c>
      <x:c r="C375" s="8" t="str">
        <x:v>Cerraduras para Puertas de Acceso</x:v>
      </x:c>
      <x:c r="D375" s="8" t="str">
        <x:v>Cerradura P/Puerta de acceso C/Llave y Traba Interior</x:v>
      </x:c>
      <x:c r="E375" s="8" t="str">
        <x:v>c-pa-ln.png</x:v>
      </x:c>
      <x:c r="F375" s="30"/>
      <x:c r="G375" s="34" t="n">
        <x:v>0</x:v>
      </x:c>
      <x:c r="H375" s="30"/>
      <x:c r="I375" s="32" t="str">
        <x:f>IF(H375&lt;&gt;"",H375,IF(F375="","",ROUND((F375*(1+Ajustes!$B$3/100)*(1+IFERROR(VLOOKUP(B375,Ajustes!$A$7:$B$24,2,FALSE),0)/100)*(1+G375/100))/Ajustes!$B$4,0)*Ajustes!$B$4))</x:f>
      </x:c>
      <x:c r="J375" t="n">
        <x:v>49</x:v>
      </x:c>
    </x:row>
    <x:row r="376">
      <x:c r="A376" t="str">
        <x:v>C.B.AI</x:v>
      </x:c>
      <x:c r="B376" t="str">
        <x:v>Herrajes</x:v>
      </x:c>
      <x:c r="C376" s="8" t="str">
        <x:v>Cerraduras para Bauleras</x:v>
      </x:c>
      <x:c r="D376" s="8" t="str">
        <x:v>Cerradura P/Baulera C/llave 12 x 9 cm - Acero Inox</x:v>
      </x:c>
      <x:c r="E376" s="8" t="str">
        <x:v>c-b-ai.png</x:v>
      </x:c>
      <x:c r="F376" s="30"/>
      <x:c r="G376" s="34" t="n">
        <x:v>0</x:v>
      </x:c>
      <x:c r="H376" s="30"/>
      <x:c r="I376" s="32" t="str">
        <x:f>IF(H376&lt;&gt;"",H376,IF(F376="","",ROUND((F376*(1+Ajustes!$B$3/100)*(1+IFERROR(VLOOKUP(B376,Ajustes!$A$7:$B$24,2,FALSE),0)/100)*(1+G376/100))/Ajustes!$B$4,0)*Ajustes!$B$4))</x:f>
      </x:c>
      <x:c r="J376" t="n">
        <x:v>49</x:v>
      </x:c>
    </x:row>
    <x:row r="377">
      <x:c r="A377" t="str">
        <x:v>C.B.N</x:v>
      </x:c>
      <x:c r="B377" t="str">
        <x:v>Herrajes</x:v>
      </x:c>
      <x:c r="C377" s="8" t="str">
        <x:v>Cerraduras para Bauleras</x:v>
      </x:c>
      <x:c r="D377" s="8" t="str">
        <x:v>Cerradura P/Baulera C/llave 12 x 9 cm</x:v>
      </x:c>
      <x:c r="E377" s="8" t="str">
        <x:v>c-b-n.png</x:v>
      </x:c>
      <x:c r="F377" s="30"/>
      <x:c r="G377" s="34" t="n">
        <x:v>0</x:v>
      </x:c>
      <x:c r="H377" s="30"/>
      <x:c r="I377" s="32" t="str">
        <x:f>IF(H377&lt;&gt;"",H377,IF(F377="","",ROUND((F377*(1+Ajustes!$B$3/100)*(1+IFERROR(VLOOKUP(B377,Ajustes!$A$7:$B$24,2,FALSE),0)/100)*(1+G377/100))/Ajustes!$B$4,0)*Ajustes!$B$4))</x:f>
      </x:c>
      <x:c r="J377" t="n">
        <x:v>49</x:v>
      </x:c>
    </x:row>
    <x:row r="378">
      <x:c r="A378" t="str">
        <x:v>C.B.PE</x:v>
      </x:c>
      <x:c r="B378" t="str">
        <x:v>Herrajes</x:v>
      </x:c>
      <x:c r="C378" s="8" t="str">
        <x:v>Cerraduras para Bauleras</x:v>
      </x:c>
      <x:c r="D378" s="8" t="str">
        <x:v>Perilla P/Cerradura Baulera</x:v>
      </x:c>
      <x:c r="E378" s="8" t="str">
        <x:v>c-b-pe.png</x:v>
      </x:c>
      <x:c r="F378" s="30"/>
      <x:c r="G378" s="34" t="n">
        <x:v>0</x:v>
      </x:c>
      <x:c r="H378" s="30"/>
      <x:c r="I378" s="32" t="str">
        <x:f>IF(H378&lt;&gt;"",H378,IF(F378="","",ROUND((F378*(1+Ajustes!$B$3/100)*(1+IFERROR(VLOOKUP(B378,Ajustes!$A$7:$B$24,2,FALSE),0)/100)*(1+G378/100))/Ajustes!$B$4,0)*Ajustes!$B$4))</x:f>
      </x:c>
      <x:c r="J378" t="n">
        <x:v>49</x:v>
      </x:c>
    </x:row>
    <x:row r="379">
      <x:c r="A379" t="str">
        <x:v>C.LPC</x:v>
      </x:c>
      <x:c r="B379" t="str">
        <x:v>Herrajes</x:v>
      </x:c>
      <x:c r="C379" s="8" t="str">
        <x:v>Cerradura Levantapiso</x:v>
      </x:c>
      <x:c r="D379" s="8" t="str">
        <x:v>Cerradura Levanta Piso con Llave</x:v>
      </x:c>
      <x:c r="E379" s="8" t="str">
        <x:v>c-lpc.png</x:v>
      </x:c>
      <x:c r="F379" s="30"/>
      <x:c r="G379" s="34" t="n">
        <x:v>0</x:v>
      </x:c>
      <x:c r="H379" s="30"/>
      <x:c r="I379" s="32" t="str">
        <x:f>IF(H379&lt;&gt;"",H379,IF(F379="","",ROUND((F379*(1+Ajustes!$B$3/100)*(1+IFERROR(VLOOKUP(B379,Ajustes!$A$7:$B$24,2,FALSE),0)/100)*(1+G379/100))/Ajustes!$B$4,0)*Ajustes!$B$4))</x:f>
      </x:c>
      <x:c r="J379" t="n">
        <x:v>50</x:v>
      </x:c>
    </x:row>
    <x:row r="380">
      <x:c r="A380" t="str">
        <x:v>C.LP</x:v>
      </x:c>
      <x:c r="B380" t="str">
        <x:v>Herrajes</x:v>
      </x:c>
      <x:c r="C380" s="8" t="str">
        <x:v>Cerradura Levantapiso</x:v>
      </x:c>
      <x:c r="D380" s="8" t="str">
        <x:v>Cerradura Levanta Piso</x:v>
      </x:c>
      <x:c r="E380" s="8" t="str">
        <x:v>c-lp.png</x:v>
      </x:c>
      <x:c r="F380" s="30"/>
      <x:c r="G380" s="34" t="n">
        <x:v>0</x:v>
      </x:c>
      <x:c r="H380" s="30"/>
      <x:c r="I380" s="32" t="str">
        <x:f>IF(H380&lt;&gt;"",H380,IF(F380="","",ROUND((F380*(1+Ajustes!$B$3/100)*(1+IFERROR(VLOOKUP(B380,Ajustes!$A$7:$B$24,2,FALSE),0)/100)*(1+G380/100))/Ajustes!$B$4,0)*Ajustes!$B$4))</x:f>
      </x:c>
      <x:c r="J380" t="n">
        <x:v>50</x:v>
      </x:c>
    </x:row>
    <x:row r="381">
      <x:c r="A381" t="str">
        <x:v>C.B.P</x:v>
      </x:c>
      <x:c r="B381" t="str">
        <x:v>Herrajes</x:v>
      </x:c>
      <x:c r="C381" s="8" t="str">
        <x:v>Cerraduras para Baños</x:v>
      </x:c>
      <x:c r="D381" s="8" t="str">
        <x:v>Cerradura P/Puerta Baño C/picaporte</x:v>
      </x:c>
      <x:c r="E381" s="8" t="str">
        <x:v>c-b-p.png</x:v>
      </x:c>
      <x:c r="F381" s="30"/>
      <x:c r="G381" s="34" t="n">
        <x:v>0</x:v>
      </x:c>
      <x:c r="H381" s="30"/>
      <x:c r="I381" s="32" t="str">
        <x:f>IF(H381&lt;&gt;"",H381,IF(F381="","",ROUND((F381*(1+Ajustes!$B$3/100)*(1+IFERROR(VLOOKUP(B381,Ajustes!$A$7:$B$24,2,FALSE),0)/100)*(1+G381/100))/Ajustes!$B$4,0)*Ajustes!$B$4))</x:f>
      </x:c>
      <x:c r="J381" t="n">
        <x:v>50</x:v>
      </x:c>
    </x:row>
    <x:row r="382">
      <x:c r="A382" t="str">
        <x:v>C.B.E</x:v>
      </x:c>
      <x:c r="B382" t="str">
        <x:v>Herrajes</x:v>
      </x:c>
      <x:c r="C382" s="8" t="str">
        <x:v>Cerraduras para Baños</x:v>
      </x:c>
      <x:c r="D382" s="8" t="str">
        <x:v>Cerradura P/Puerta Baño P/Embutir</x:v>
      </x:c>
      <x:c r="E382" s="8" t="str">
        <x:v>c-b-e.png</x:v>
      </x:c>
      <x:c r="F382" s="30"/>
      <x:c r="G382" s="34" t="n">
        <x:v>0</x:v>
      </x:c>
      <x:c r="H382" s="30"/>
      <x:c r="I382" s="32" t="str">
        <x:f>IF(H382&lt;&gt;"",H382,IF(F382="","",ROUND((F382*(1+Ajustes!$B$3/100)*(1+IFERROR(VLOOKUP(B382,Ajustes!$A$7:$B$24,2,FALSE),0)/100)*(1+G382/100))/Ajustes!$B$4,0)*Ajustes!$B$4))</x:f>
      </x:c>
      <x:c r="J382" t="n">
        <x:v>50</x:v>
      </x:c>
    </x:row>
    <x:row r="383">
      <x:c r="A383" t="str">
        <x:v>C.PLT.C</x:v>
      </x:c>
      <x:c r="B383" t="str">
        <x:v>Herrajes</x:v>
      </x:c>
      <x:c r="C383" s="8" t="str">
        <x:v>Cerraduras para Muebles</x:v>
      </x:c>
      <x:c r="D383" s="8" t="str">
        <x:v>Cerradura Push lock P/Mueble C/Tirador</x:v>
      </x:c>
      <x:c r="E383" s="8" t="str">
        <x:v>c-plt-c.png</x:v>
      </x:c>
      <x:c r="F383" s="30"/>
      <x:c r="G383" s="34" t="n">
        <x:v>0</x:v>
      </x:c>
      <x:c r="H383" s="30"/>
      <x:c r="I383" s="32" t="str">
        <x:f>IF(H383&lt;&gt;"",H383,IF(F383="","",ROUND((F383*(1+Ajustes!$B$3/100)*(1+IFERROR(VLOOKUP(B383,Ajustes!$A$7:$B$24,2,FALSE),0)/100)*(1+G383/100))/Ajustes!$B$4,0)*Ajustes!$B$4))</x:f>
      </x:c>
      <x:c r="J383" t="n">
        <x:v>50</x:v>
      </x:c>
    </x:row>
    <x:row r="384">
      <x:c r="A384" t="str">
        <x:v>C.PL.BC</x:v>
      </x:c>
      <x:c r="B384" t="str">
        <x:v>Herrajes</x:v>
      </x:c>
      <x:c r="C384" s="8" t="str">
        <x:v>Cerraduras para Muebles</x:v>
      </x:c>
      <x:c r="D384" s="8" t="str">
        <x:v>Cerradura Push lock P/Mueble - GRANDE</x:v>
      </x:c>
      <x:c r="E384" s="8" t="str">
        <x:v>c-pl-bc.png</x:v>
      </x:c>
      <x:c r="F384" s="30"/>
      <x:c r="G384" s="34" t="n">
        <x:v>0</x:v>
      </x:c>
      <x:c r="H384" s="30"/>
      <x:c r="I384" s="32" t="str">
        <x:f>IF(H384&lt;&gt;"",H384,IF(F384="","",ROUND((F384*(1+Ajustes!$B$3/100)*(1+IFERROR(VLOOKUP(B384,Ajustes!$A$7:$B$24,2,FALSE),0)/100)*(1+G384/100))/Ajustes!$B$4,0)*Ajustes!$B$4))</x:f>
      </x:c>
      <x:c r="J384" t="n">
        <x:v>50</x:v>
      </x:c>
    </x:row>
    <x:row r="385">
      <x:c r="A385" t="str">
        <x:v>C.PL.N</x:v>
      </x:c>
      <x:c r="B385" t="str">
        <x:v>Herrajes</x:v>
      </x:c>
      <x:c r="C385" s="8" t="str">
        <x:v>Cerraduras para Muebles</x:v>
      </x:c>
      <x:c r="D385" s="8" t="str">
        <x:v>Cerradura Push lock P/Mueble - CHICA</x:v>
      </x:c>
      <x:c r="E385" s="8" t="str">
        <x:v>c-pl-n.png</x:v>
      </x:c>
      <x:c r="F385" s="30"/>
      <x:c r="G385" s="34" t="n">
        <x:v>0</x:v>
      </x:c>
      <x:c r="H385" s="30"/>
      <x:c r="I385" s="32" t="str">
        <x:f>IF(H385&lt;&gt;"",H385,IF(F385="","",ROUND((F385*(1+Ajustes!$B$3/100)*(1+IFERROR(VLOOKUP(B385,Ajustes!$A$7:$B$24,2,FALSE),0)/100)*(1+G385/100))/Ajustes!$B$4,0)*Ajustes!$B$4))</x:f>
      </x:c>
      <x:c r="J385" t="n">
        <x:v>50</x:v>
      </x:c>
    </x:row>
    <x:row r="386">
      <x:c r="A386" t="str">
        <x:v>C.PL.C</x:v>
      </x:c>
      <x:c r="B386" t="str">
        <x:v>Herrajes</x:v>
      </x:c>
      <x:c r="C386" s="8" t="str">
        <x:v>Cerraduras para Muebles</x:v>
      </x:c>
      <x:c r="D386" s="8" t="str">
        <x:v>Cerradura Push lock P/Mueble - CHICA</x:v>
      </x:c>
      <x:c r="E386" s="8" t="str">
        <x:v>c-pl-c.png</x:v>
      </x:c>
      <x:c r="F386" s="30"/>
      <x:c r="G386" s="34" t="n">
        <x:v>0</x:v>
      </x:c>
      <x:c r="H386" s="30"/>
      <x:c r="I386" s="32" t="str">
        <x:f>IF(H386&lt;&gt;"",H386,IF(F386="","",ROUND((F386*(1+Ajustes!$B$3/100)*(1+IFERROR(VLOOKUP(B386,Ajustes!$A$7:$B$24,2,FALSE),0)/100)*(1+G386/100))/Ajustes!$B$4,0)*Ajustes!$B$4))</x:f>
      </x:c>
      <x:c r="J386" t="n">
        <x:v>51</x:v>
      </x:c>
    </x:row>
    <x:row r="387">
      <x:c r="A387" t="str">
        <x:v>BB.18.E</x:v>
      </x:c>
      <x:c r="B387" t="str">
        <x:v>Mobiliario</x:v>
      </x:c>
      <x:c r="C387" s="8" t="str">
        <x:v>Bases de Butacas Giratorias</x:v>
      </x:c>
      <x:c r="D387" s="8" t="str">
        <x:v>Base Butaca Giratoria 18 cm</x:v>
      </x:c>
      <x:c r="E387" s="8" t="str">
        <x:v>bb-18-e.png</x:v>
      </x:c>
      <x:c r="F387" s="30"/>
      <x:c r="G387" s="34" t="n">
        <x:v>0</x:v>
      </x:c>
      <x:c r="H387" s="30"/>
      <x:c r="I387" s="32" t="str">
        <x:f>IF(H387&lt;&gt;"",H387,IF(F387="","",ROUND((F387*(1+Ajustes!$B$3/100)*(1+IFERROR(VLOOKUP(B387,Ajustes!$A$7:$B$24,2,FALSE),0)/100)*(1+G387/100))/Ajustes!$B$4,0)*Ajustes!$B$4))</x:f>
      </x:c>
      <x:c r="J387" t="n">
        <x:v>51</x:v>
      </x:c>
    </x:row>
    <x:row r="388">
      <x:c r="A388" t="str">
        <x:v>BB.20.T</x:v>
      </x:c>
      <x:c r="B388" t="str">
        <x:v>Mobiliario</x:v>
      </x:c>
      <x:c r="C388" s="8" t="str">
        <x:v>Bases de Butacas Giratorias</x:v>
      </x:c>
      <x:c r="D388" s="8" t="str">
        <x:v>Base Butaca Giratoria 20 cm - TRANSIT</x:v>
      </x:c>
      <x:c r="E388" s="8" t="str">
        <x:v>bb-20-t.png</x:v>
      </x:c>
      <x:c r="F388" s="30"/>
      <x:c r="G388" s="34" t="n">
        <x:v>0</x:v>
      </x:c>
      <x:c r="H388" s="30"/>
      <x:c r="I388" s="32" t="str">
        <x:f>IF(H388&lt;&gt;"",H388,IF(F388="","",ROUND((F388*(1+Ajustes!$B$3/100)*(1+IFERROR(VLOOKUP(B388,Ajustes!$A$7:$B$24,2,FALSE),0)/100)*(1+G388/100))/Ajustes!$B$4,0)*Ajustes!$B$4))</x:f>
      </x:c>
      <x:c r="J388" t="n">
        <x:v>51</x:v>
      </x:c>
    </x:row>
    <x:row r="389">
      <x:c r="A389" t="str">
        <x:v>BB.195.T</x:v>
      </x:c>
      <x:c r="B389" t="str">
        <x:v>Mobiliario</x:v>
      </x:c>
      <x:c r="C389" s="8" t="str">
        <x:v>Bases de Butacas Giratorias</x:v>
      </x:c>
      <x:c r="D389" s="8" t="str">
        <x:v>Base Butaca Giratoria 19,5 cm - TRANSIT</x:v>
      </x:c>
      <x:c r="E389" s="8" t="str">
        <x:v>bb-195-t.png</x:v>
      </x:c>
      <x:c r="F389" s="30"/>
      <x:c r="G389" s="34" t="n">
        <x:v>0</x:v>
      </x:c>
      <x:c r="H389" s="30"/>
      <x:c r="I389" s="32" t="str">
        <x:f>IF(H389&lt;&gt;"",H389,IF(F389="","",ROUND((F389*(1+Ajustes!$B$3/100)*(1+IFERROR(VLOOKUP(B389,Ajustes!$A$7:$B$24,2,FALSE),0)/100)*(1+G389/100))/Ajustes!$B$4,0)*Ajustes!$B$4))</x:f>
      </x:c>
      <x:c r="J389" t="n">
        <x:v>51</x:v>
      </x:c>
    </x:row>
    <x:row r="390">
      <x:c r="A390" t="str">
        <x:v>BB.20.MA</x:v>
      </x:c>
      <x:c r="B390" t="str">
        <x:v>Mobiliario</x:v>
      </x:c>
      <x:c r="C390" s="8" t="str">
        <x:v>Bases de Butacas Giratorias</x:v>
      </x:c>
      <x:c r="D390" s="8" t="str">
        <x:v>Base butaca Giratoria 20 cm - MASTER</x:v>
      </x:c>
      <x:c r="E390" s="8" t="str">
        <x:v>bb-20-ma.png</x:v>
      </x:c>
      <x:c r="F390" s="30"/>
      <x:c r="G390" s="34" t="n">
        <x:v>0</x:v>
      </x:c>
      <x:c r="H390" s="30"/>
      <x:c r="I390" s="32" t="str">
        <x:f>IF(H390&lt;&gt;"",H390,IF(F390="","",ROUND((F390*(1+Ajustes!$B$3/100)*(1+IFERROR(VLOOKUP(B390,Ajustes!$A$7:$B$24,2,FALSE),0)/100)*(1+G390/100))/Ajustes!$B$4,0)*Ajustes!$B$4))</x:f>
      </x:c>
      <x:c r="J390" t="n">
        <x:v>51</x:v>
      </x:c>
    </x:row>
    <x:row r="391">
      <x:c r="A391" t="str">
        <x:v>BB.36.DA</x:v>
      </x:c>
      <x:c r="B391" t="str">
        <x:v>Mobiliario</x:v>
      </x:c>
      <x:c r="C391" s="8" t="str">
        <x:v>Bases de Butacas Giratorias</x:v>
      </x:c>
      <x:c r="D391" s="8" t="str">
        <x:v>Base Butaca Giratoria 36 cm - DUCATO 1993</x:v>
      </x:c>
      <x:c r="E391" s="8" t="str">
        <x:v>bb-36-da.png</x:v>
      </x:c>
      <x:c r="F391" s="30"/>
      <x:c r="G391" s="34" t="n">
        <x:v>0</x:v>
      </x:c>
      <x:c r="H391" s="30"/>
      <x:c r="I391" s="32" t="str">
        <x:f>IF(H391&lt;&gt;"",H391,IF(F391="","",ROUND((F391*(1+Ajustes!$B$3/100)*(1+IFERROR(VLOOKUP(B391,Ajustes!$A$7:$B$24,2,FALSE),0)/100)*(1+G391/100))/Ajustes!$B$4,0)*Ajustes!$B$4))</x:f>
      </x:c>
      <x:c r="J391" t="n">
        <x:v>51</x:v>
      </x:c>
    </x:row>
    <x:row r="392">
      <x:c r="A392" t="str">
        <x:v>BB.22.DA</x:v>
      </x:c>
      <x:c r="B392" t="str">
        <x:v>Mobiliario</x:v>
      </x:c>
      <x:c r="C392" s="8" t="str">
        <x:v>Bases de Butacas Giratorias</x:v>
      </x:c>
      <x:c r="D392" s="8" t="str">
        <x:v>Base Butaca Giratoria 22 cm - DUCATO</x:v>
      </x:c>
      <x:c r="E392" s="8" t="str">
        <x:v>bb-22-da.png</x:v>
      </x:c>
      <x:c r="F392" s="30"/>
      <x:c r="G392" s="34" t="n">
        <x:v>0</x:v>
      </x:c>
      <x:c r="H392" s="30"/>
      <x:c r="I392" s="32" t="str">
        <x:f>IF(H392&lt;&gt;"",H392,IF(F392="","",ROUND((F392*(1+Ajustes!$B$3/100)*(1+IFERROR(VLOOKUP(B392,Ajustes!$A$7:$B$24,2,FALSE),0)/100)*(1+G392/100))/Ajustes!$B$4,0)*Ajustes!$B$4))</x:f>
      </x:c>
      <x:c r="J392" t="n">
        <x:v>51</x:v>
      </x:c>
    </x:row>
    <x:row r="393">
      <x:c r="A393" t="str">
        <x:v>BB.22.DJBA</x:v>
      </x:c>
      <x:c r="B393" t="str">
        <x:v>Mobiliario</x:v>
      </x:c>
      <x:c r="C393" s="8" t="str">
        <x:v>Bases de Butacas Giratorias</x:v>
      </x:c>
      <x:c r="D393" s="8" t="str">
        <x:v>Base Butaca Giratoria 22 cm - JUMPER/DUCATO/BOXER</x:v>
      </x:c>
      <x:c r="E393" s="8" t="str">
        <x:v>bb-22-djba.png</x:v>
      </x:c>
      <x:c r="F393" s="30"/>
      <x:c r="G393" s="34" t="n">
        <x:v>0</x:v>
      </x:c>
      <x:c r="H393" s="30"/>
      <x:c r="I393" s="32" t="str">
        <x:f>IF(H393&lt;&gt;"",H393,IF(F393="","",ROUND((F393*(1+Ajustes!$B$3/100)*(1+IFERROR(VLOOKUP(B393,Ajustes!$A$7:$B$24,2,FALSE),0)/100)*(1+G393/100))/Ajustes!$B$4,0)*Ajustes!$B$4))</x:f>
      </x:c>
      <x:c r="J393" t="n">
        <x:v>51</x:v>
      </x:c>
    </x:row>
    <x:row r="394">
      <x:c r="A394" t="str">
        <x:v>BB.25.SH13A</x:v>
      </x:c>
      <x:c r="B394" t="str">
        <x:v>Mobiliario</x:v>
      </x:c>
      <x:c r="C394" s="8" t="str">
        <x:v>Bases de Butacas Giratorias</x:v>
      </x:c>
      <x:c r="D394" s="8" t="str">
        <x:v>Base Butaca Giratoria 25 cm - SPRINTER</x:v>
      </x:c>
      <x:c r="E394" s="8" t="str">
        <x:v>bb-25-sh13a.png</x:v>
      </x:c>
      <x:c r="F394" s="30"/>
      <x:c r="G394" s="34" t="n">
        <x:v>0</x:v>
      </x:c>
      <x:c r="H394" s="30"/>
      <x:c r="I394" s="32" t="str">
        <x:f>IF(H394&lt;&gt;"",H394,IF(F394="","",ROUND((F394*(1+Ajustes!$B$3/100)*(1+IFERROR(VLOOKUP(B394,Ajustes!$A$7:$B$24,2,FALSE),0)/100)*(1+G394/100))/Ajustes!$B$4,0)*Ajustes!$B$4))</x:f>
      </x:c>
      <x:c r="J394" t="n">
        <x:v>52</x:v>
      </x:c>
    </x:row>
    <x:row r="395">
      <x:c r="A395" t="str">
        <x:v>BB.25.SD13A</x:v>
      </x:c>
      <x:c r="B395" t="str">
        <x:v>Mobiliario</x:v>
      </x:c>
      <x:c r="C395" s="8" t="str">
        <x:v>Bases de Butacas Giratorias</x:v>
      </x:c>
      <x:c r="D395" s="8" t="str">
        <x:v>Base Butaca Giratoria 25 cm - SPRINTER</x:v>
      </x:c>
      <x:c r="E395" s="8" t="str">
        <x:v>bb-25-sd13a.png</x:v>
      </x:c>
      <x:c r="F395" s="30"/>
      <x:c r="G395" s="34" t="n">
        <x:v>0</x:v>
      </x:c>
      <x:c r="H395" s="30"/>
      <x:c r="I395" s="32" t="str">
        <x:f>IF(H395&lt;&gt;"",H395,IF(F395="","",ROUND((F395*(1+Ajustes!$B$3/100)*(1+IFERROR(VLOOKUP(B395,Ajustes!$A$7:$B$24,2,FALSE),0)/100)*(1+G395/100))/Ajustes!$B$4,0)*Ajustes!$B$4))</x:f>
      </x:c>
      <x:c r="J395" t="n">
        <x:v>52</x:v>
      </x:c>
    </x:row>
    <x:row r="396">
      <x:c r="A396" t="str">
        <x:v>BB.9.SA</x:v>
      </x:c>
      <x:c r="B396" t="str">
        <x:v>Mobiliario</x:v>
      </x:c>
      <x:c r="C396" s="8" t="str">
        <x:v>Bases de Butacas Giratorias</x:v>
      </x:c>
      <x:c r="D396" s="8" t="str">
        <x:v>Base Butaca Giratoria 9cm - SPRINTER</x:v>
      </x:c>
      <x:c r="E396" s="8" t="str">
        <x:v>bb-9-sa.png</x:v>
      </x:c>
      <x:c r="F396" s="30"/>
      <x:c r="G396" s="34" t="n">
        <x:v>0</x:v>
      </x:c>
      <x:c r="H396" s="30"/>
      <x:c r="I396" s="32" t="str">
        <x:f>IF(H396&lt;&gt;"",H396,IF(F396="","",ROUND((F396*(1+Ajustes!$B$3/100)*(1+IFERROR(VLOOKUP(B396,Ajustes!$A$7:$B$24,2,FALSE),0)/100)*(1+G396/100))/Ajustes!$B$4,0)*Ajustes!$B$4))</x:f>
      </x:c>
      <x:c r="J396" t="n">
        <x:v>52</x:v>
      </x:c>
    </x:row>
    <x:row r="397">
      <x:c r="A397" t="str">
        <x:v>BB.25.D</x:v>
      </x:c>
      <x:c r="B397" t="str">
        <x:v>Mobiliario</x:v>
      </x:c>
      <x:c r="C397" s="8" t="str">
        <x:v>Bases de Butacas Giratorias</x:v>
      </x:c>
      <x:c r="D397" s="8" t="str">
        <x:v>Base Butaca Giratoria 25 cm - IVECO DAYLI</x:v>
      </x:c>
      <x:c r="E397" s="8" t="str">
        <x:v>bb-25-d.png</x:v>
      </x:c>
      <x:c r="F397" s="30"/>
      <x:c r="G397" s="34" t="n">
        <x:v>0</x:v>
      </x:c>
      <x:c r="H397" s="30"/>
      <x:c r="I397" s="32" t="str">
        <x:f>IF(H397&lt;&gt;"",H397,IF(F397="","",ROUND((F397*(1+Ajustes!$B$3/100)*(1+IFERROR(VLOOKUP(B397,Ajustes!$A$7:$B$24,2,FALSE),0)/100)*(1+G397/100))/Ajustes!$B$4,0)*Ajustes!$B$4))</x:f>
      </x:c>
      <x:c r="J397" t="n">
        <x:v>52</x:v>
      </x:c>
    </x:row>
    <x:row r="398">
      <x:c r="A398" t="str">
        <x:v>BB.35.DJBC</x:v>
      </x:c>
      <x:c r="B398" t="str">
        <x:v>Mobiliario</x:v>
      </x:c>
      <x:c r="C398" s="8" t="str">
        <x:v>Bases de Butacas Giratorias</x:v>
      </x:c>
      <x:c r="D398" s="8" t="str">
        <x:v>Base Butaca Giratoria 3,5 cm - JUMPER/DUCATO/BOXER</x:v>
      </x:c>
      <x:c r="E398" s="8" t="str">
        <x:v>bb-35-djbc.png</x:v>
      </x:c>
      <x:c r="F398" s="30"/>
      <x:c r="G398" s="34" t="n">
        <x:v>0</x:v>
      </x:c>
      <x:c r="H398" s="30"/>
      <x:c r="I398" s="32" t="str">
        <x:f>IF(H398&lt;&gt;"",H398,IF(F398="","",ROUND((F398*(1+Ajustes!$B$3/100)*(1+IFERROR(VLOOKUP(B398,Ajustes!$A$7:$B$24,2,FALSE),0)/100)*(1+G398/100))/Ajustes!$B$4,0)*Ajustes!$B$4))</x:f>
      </x:c>
      <x:c r="J398" t="n">
        <x:v>52</x:v>
      </x:c>
    </x:row>
    <x:row r="399">
      <x:c r="A399" t="str">
        <x:v>BB.35.SVC</x:v>
      </x:c>
      <x:c r="B399" t="str">
        <x:v>Mobiliario</x:v>
      </x:c>
      <x:c r="C399" s="8" t="str">
        <x:v>Bases de Butacas Giratorias</x:v>
      </x:c>
      <x:c r="D399" s="8" t="str">
        <x:v>Base Butaca Giratoria 3,5 cm - SPRINTER/VITO Desde 2018</x:v>
      </x:c>
      <x:c r="E399" s="8" t="str">
        <x:v>bb-35-svc.png</x:v>
      </x:c>
      <x:c r="F399" s="30"/>
      <x:c r="G399" s="34" t="n">
        <x:v>0</x:v>
      </x:c>
      <x:c r="H399" s="30"/>
      <x:c r="I399" s="32" t="str">
        <x:f>IF(H399&lt;&gt;"",H399,IF(F399="","",ROUND((F399*(1+Ajustes!$B$3/100)*(1+IFERROR(VLOOKUP(B399,Ajustes!$A$7:$B$24,2,FALSE),0)/100)*(1+G399/100))/Ajustes!$B$4,0)*Ajustes!$B$4))</x:f>
      </x:c>
      <x:c r="J399" t="n">
        <x:v>52</x:v>
      </x:c>
    </x:row>
    <x:row r="400">
      <x:c r="A400" t="str">
        <x:v>BB.18</x:v>
      </x:c>
      <x:c r="B400" t="str">
        <x:v>Mobiliario</x:v>
      </x:c>
      <x:c r="C400" s="8" t="str">
        <x:v>Bases de Butacas Giratorias</x:v>
      </x:c>
      <x:c r="D400" s="8" t="str">
        <x:v>Base Butaca Giratoria 18 cm</x:v>
      </x:c>
      <x:c r="E400" s="8" t="str">
        <x:v>bb-18.png</x:v>
      </x:c>
      <x:c r="F400" s="30"/>
      <x:c r="G400" s="34" t="n">
        <x:v>0</x:v>
      </x:c>
      <x:c r="H400" s="30"/>
      <x:c r="I400" s="32" t="str">
        <x:f>IF(H400&lt;&gt;"",H400,IF(F400="","",ROUND((F400*(1+Ajustes!$B$3/100)*(1+IFERROR(VLOOKUP(B400,Ajustes!$A$7:$B$24,2,FALSE),0)/100)*(1+G400/100))/Ajustes!$B$4,0)*Ajustes!$B$4))</x:f>
      </x:c>
      <x:c r="J400" t="n">
        <x:v>52</x:v>
      </x:c>
    </x:row>
    <x:row r="401">
      <x:c r="A401" t="str">
        <x:v>BB.25</x:v>
      </x:c>
      <x:c r="B401" t="str">
        <x:v>Mobiliario</x:v>
      </x:c>
      <x:c r="C401" s="8" t="str">
        <x:v>Bases de Butacas Giratorias</x:v>
      </x:c>
      <x:c r="D401" s="8" t="str">
        <x:v>Base Butaca Giratoria 25 cm</x:v>
      </x:c>
      <x:c r="E401" s="8" t="str">
        <x:v>bb-25.png</x:v>
      </x:c>
      <x:c r="F401" s="30"/>
      <x:c r="G401" s="34" t="n">
        <x:v>0</x:v>
      </x:c>
      <x:c r="H401" s="30"/>
      <x:c r="I401" s="32" t="str">
        <x:f>IF(H401&lt;&gt;"",H401,IF(F401="","",ROUND((F401*(1+Ajustes!$B$3/100)*(1+IFERROR(VLOOKUP(B401,Ajustes!$A$7:$B$24,2,FALSE),0)/100)*(1+G401/100))/Ajustes!$B$4,0)*Ajustes!$B$4))</x:f>
      </x:c>
      <x:c r="J401" t="n">
        <x:v>52</x:v>
      </x:c>
    </x:row>
    <x:row r="402">
      <x:c r="A402" t="str">
        <x:v>BB.27</x:v>
      </x:c>
      <x:c r="B402" t="str">
        <x:v>Mobiliario</x:v>
      </x:c>
      <x:c r="C402" s="8" t="str">
        <x:v>Bases de Butacas Giratorias</x:v>
      </x:c>
      <x:c r="D402" s="8" t="str">
        <x:v>Base Butaca Giratoria 27 cm</x:v>
      </x:c>
      <x:c r="E402" s="8" t="str">
        <x:v>bb-27.png</x:v>
      </x:c>
      <x:c r="F402" s="30"/>
      <x:c r="G402" s="34" t="n">
        <x:v>0</x:v>
      </x:c>
      <x:c r="H402" s="30"/>
      <x:c r="I402" s="32" t="str">
        <x:f>IF(H402&lt;&gt;"",H402,IF(F402="","",ROUND((F402*(1+Ajustes!$B$3/100)*(1+IFERROR(VLOOKUP(B402,Ajustes!$A$7:$B$24,2,FALSE),0)/100)*(1+G402/100))/Ajustes!$B$4,0)*Ajustes!$B$4))</x:f>
      </x:c>
      <x:c r="J402" t="n">
        <x:v>53</x:v>
      </x:c>
    </x:row>
    <x:row r="403">
      <x:c r="A403" t="str">
        <x:v>PM.E.BP</x:v>
      </x:c>
      <x:c r="B403" t="str">
        <x:v>Mobiliario</x:v>
      </x:c>
      <x:c r="C403" s="8" t="str">
        <x:v>Pies de Mesa Electricos</x:v>
      </x:c>
      <x:c r="D403" s="8" t="str">
        <x:v>Pie de Mesa Electrico 12v C/Bandeja P/Mesa - Giro Completo 360º</x:v>
      </x:c>
      <x:c r="E403" s="8" t="str">
        <x:v>pm-e-bp.png</x:v>
      </x:c>
      <x:c r="F403" s="30"/>
      <x:c r="G403" s="34" t="n">
        <x:v>0</x:v>
      </x:c>
      <x:c r="H403" s="30"/>
      <x:c r="I403" s="32" t="str">
        <x:f>IF(H403&lt;&gt;"",H403,IF(F403="","",ROUND((F403*(1+Ajustes!$B$3/100)*(1+IFERROR(VLOOKUP(B403,Ajustes!$A$7:$B$24,2,FALSE),0)/100)*(1+G403/100))/Ajustes!$B$4,0)*Ajustes!$B$4))</x:f>
      </x:c>
      <x:c r="J403" t="n">
        <x:v>53</x:v>
      </x:c>
    </x:row>
    <x:row r="404">
      <x:c r="A404" t="str">
        <x:v>PMD.RR100</x:v>
      </x:c>
      <x:c r="B404" t="str">
        <x:v>Mobiliario</x:v>
      </x:c>
      <x:c r="C404" s="8" t="str">
        <x:v>Pies de Mesa Electricos</x:v>
      </x:c>
      <x:c r="D404" s="8" t="str">
        <x:v>Pie de Mesa Simple RR100 - Elevacion Neumatica</x:v>
      </x:c>
      <x:c r="E404" s="8" t="str">
        <x:v>pmd-rr100.png</x:v>
      </x:c>
      <x:c r="F404" s="30"/>
      <x:c r="G404" s="34" t="n">
        <x:v>0</x:v>
      </x:c>
      <x:c r="H404" s="30"/>
      <x:c r="I404" s="32" t="str">
        <x:f>IF(H404&lt;&gt;"",H404,IF(F404="","",ROUND((F404*(1+Ajustes!$B$3/100)*(1+IFERROR(VLOOKUP(B404,Ajustes!$A$7:$B$24,2,FALSE),0)/100)*(1+G404/100))/Ajustes!$B$4,0)*Ajustes!$B$4))</x:f>
      </x:c>
      <x:c r="J404" t="n">
        <x:v>53</x:v>
      </x:c>
    </x:row>
    <x:row r="405">
      <x:c r="A405" t="str">
        <x:v>PMD.RR110</x:v>
      </x:c>
      <x:c r="B405" t="str">
        <x:v>Mobiliario</x:v>
      </x:c>
      <x:c r="C405" s="8" t="str">
        <x:v>Pies de Mesa Electricos</x:v>
      </x:c>
      <x:c r="D405" s="8" t="str">
        <x:v>Pie de Mesa Doble RR110 - Elevacion Neumatica</x:v>
      </x:c>
      <x:c r="E405" s="8" t="str">
        <x:v>pmd-rr110.png</x:v>
      </x:c>
      <x:c r="F405" s="30"/>
      <x:c r="G405" s="34" t="n">
        <x:v>0</x:v>
      </x:c>
      <x:c r="H405" s="30"/>
      <x:c r="I405" s="32" t="str">
        <x:f>IF(H405&lt;&gt;"",H405,IF(F405="","",ROUND((F405*(1+Ajustes!$B$3/100)*(1+IFERROR(VLOOKUP(B405,Ajustes!$A$7:$B$24,2,FALSE),0)/100)*(1+G405/100))/Ajustes!$B$4,0)*Ajustes!$B$4))</x:f>
      </x:c>
      <x:c r="J405" t="n">
        <x:v>53</x:v>
      </x:c>
    </x:row>
    <x:row r="406">
      <x:c r="A406" t="str">
        <x:v>PMS.RM01</x:v>
      </x:c>
      <x:c r="B406" t="str">
        <x:v>Mobiliario</x:v>
      </x:c>
      <x:c r="C406" s="8" t="str">
        <x:v>Pies de Mesa Mecanicos</x:v>
      </x:c>
      <x:c r="D406" s="8" t="str">
        <x:v>Pie de Mesa Simple RM01 - Elevacion Mecanica</x:v>
      </x:c>
      <x:c r="E406" s="8" t="str">
        <x:v>pms-rm01.png</x:v>
      </x:c>
      <x:c r="F406" s="30"/>
      <x:c r="G406" s="34" t="n">
        <x:v>0</x:v>
      </x:c>
      <x:c r="H406" s="30"/>
      <x:c r="I406" s="32" t="str">
        <x:f>IF(H406&lt;&gt;"",H406,IF(F406="","",ROUND((F406*(1+Ajustes!$B$3/100)*(1+IFERROR(VLOOKUP(B406,Ajustes!$A$7:$B$24,2,FALSE),0)/100)*(1+G406/100))/Ajustes!$B$4,0)*Ajustes!$B$4))</x:f>
      </x:c>
      <x:c r="J406" t="n">
        <x:v>53</x:v>
      </x:c>
    </x:row>
    <x:row r="407">
      <x:c r="A407" t="str">
        <x:v>PMS.RM02</x:v>
      </x:c>
      <x:c r="B407" t="str">
        <x:v>Mobiliario</x:v>
      </x:c>
      <x:c r="C407" s="8" t="str">
        <x:v>Pies de Mesa Mecanicos</x:v>
      </x:c>
      <x:c r="D407" s="8" t="str">
        <x:v>Pie de Mesa Simple RM02 - Elevacion Mecanica</x:v>
      </x:c>
      <x:c r="E407" s="8" t="str">
        <x:v>pms-rm02.png</x:v>
      </x:c>
      <x:c r="F407" s="30"/>
      <x:c r="G407" s="34" t="n">
        <x:v>0</x:v>
      </x:c>
      <x:c r="H407" s="30"/>
      <x:c r="I407" s="32" t="str">
        <x:f>IF(H407&lt;&gt;"",H407,IF(F407="","",ROUND((F407*(1+Ajustes!$B$3/100)*(1+IFERROR(VLOOKUP(B407,Ajustes!$A$7:$B$24,2,FALSE),0)/100)*(1+G407/100))/Ajustes!$B$4,0)*Ajustes!$B$4))</x:f>
      </x:c>
      <x:c r="J407" t="n">
        <x:v>53</x:v>
      </x:c>
    </x:row>
    <x:row r="408">
      <x:c r="A408" t="str">
        <x:v>PMS.RM03</x:v>
      </x:c>
      <x:c r="B408" t="str">
        <x:v>Mobiliario</x:v>
      </x:c>
      <x:c r="C408" s="8" t="str">
        <x:v>Pies de Mesa Mecanicos</x:v>
      </x:c>
      <x:c r="D408" s="8" t="str">
        <x:v>Pie de Mesa Simple RM03 - Elevacion Mecanica</x:v>
      </x:c>
      <x:c r="E408" s="8" t="str">
        <x:v>pms-rm03.png</x:v>
      </x:c>
      <x:c r="F408" s="30"/>
      <x:c r="G408" s="34" t="n">
        <x:v>0</x:v>
      </x:c>
      <x:c r="H408" s="30"/>
      <x:c r="I408" s="32" t="str">
        <x:f>IF(H408&lt;&gt;"",H408,IF(F408="","",ROUND((F408*(1+Ajustes!$B$3/100)*(1+IFERROR(VLOOKUP(B408,Ajustes!$A$7:$B$24,2,FALSE),0)/100)*(1+G408/100))/Ajustes!$B$4,0)*Ajustes!$B$4))</x:f>
      </x:c>
      <x:c r="J408" t="n">
        <x:v>53</x:v>
      </x:c>
    </x:row>
    <x:row r="409">
      <x:c r="A409" t="str">
        <x:v>PMD.RM04</x:v>
      </x:c>
      <x:c r="B409" t="str">
        <x:v>Mobiliario</x:v>
      </x:c>
      <x:c r="C409" s="8" t="str">
        <x:v>Pies de Mesa Mecanicos</x:v>
      </x:c>
      <x:c r="D409" s="8" t="str">
        <x:v>Pie de Mesa Doble RM04 - Elevacion Mecanica</x:v>
      </x:c>
      <x:c r="E409" s="8" t="str">
        <x:v>pmd-rm04.png</x:v>
      </x:c>
      <x:c r="F409" s="30"/>
      <x:c r="G409" s="34" t="n">
        <x:v>0</x:v>
      </x:c>
      <x:c r="H409" s="30"/>
      <x:c r="I409" s="32" t="str">
        <x:f>IF(H409&lt;&gt;"",H409,IF(F409="","",ROUND((F409*(1+Ajustes!$B$3/100)*(1+IFERROR(VLOOKUP(B409,Ajustes!$A$7:$B$24,2,FALSE),0)/100)*(1+G409/100))/Ajustes!$B$4,0)*Ajustes!$B$4))</x:f>
      </x:c>
      <x:c r="J409" t="n">
        <x:v>53</x:v>
      </x:c>
    </x:row>
    <x:row r="410">
      <x:c r="A410" t="str">
        <x:v>PMD.RM05</x:v>
      </x:c>
      <x:c r="B410" t="str">
        <x:v>Mobiliario</x:v>
      </x:c>
      <x:c r="C410" s="8" t="str">
        <x:v>Pies de Mesa Mecanicos</x:v>
      </x:c>
      <x:c r="D410" s="8" t="str">
        <x:v>Pie de Mesa Doble RM05 - Elevacion Mecanica</x:v>
      </x:c>
      <x:c r="E410" s="8" t="str">
        <x:v>pmd-rm05.png</x:v>
      </x:c>
      <x:c r="F410" s="30"/>
      <x:c r="G410" s="34" t="n">
        <x:v>0</x:v>
      </x:c>
      <x:c r="H410" s="30"/>
      <x:c r="I410" s="32" t="str">
        <x:f>IF(H410&lt;&gt;"",H410,IF(F410="","",ROUND((F410*(1+Ajustes!$B$3/100)*(1+IFERROR(VLOOKUP(B410,Ajustes!$A$7:$B$24,2,FALSE),0)/100)*(1+G410/100))/Ajustes!$B$4,0)*Ajustes!$B$4))</x:f>
      </x:c>
      <x:c r="J410" t="n">
        <x:v>54</x:v>
      </x:c>
    </x:row>
    <x:row r="411">
      <x:c r="A411" t="str">
        <x:v>PMD.RM09</x:v>
      </x:c>
      <x:c r="B411" t="str">
        <x:v>Mobiliario</x:v>
      </x:c>
      <x:c r="C411" s="8" t="str">
        <x:v>Pies de Mesa Mecanicos</x:v>
      </x:c>
      <x:c r="D411" s="8" t="str">
        <x:v>Pie de Mesa Doble  RM09 - Elevacion Mecanica</x:v>
      </x:c>
      <x:c r="E411" s="8" t="str">
        <x:v>pmd-rm09.png</x:v>
      </x:c>
      <x:c r="F411" s="30"/>
      <x:c r="G411" s="34" t="n">
        <x:v>0</x:v>
      </x:c>
      <x:c r="H411" s="30"/>
      <x:c r="I411" s="32" t="str">
        <x:f>IF(H411&lt;&gt;"",H411,IF(F411="","",ROUND((F411*(1+Ajustes!$B$3/100)*(1+IFERROR(VLOOKUP(B411,Ajustes!$A$7:$B$24,2,FALSE),0)/100)*(1+G411/100))/Ajustes!$B$4,0)*Ajustes!$B$4))</x:f>
      </x:c>
      <x:c r="J411" t="n">
        <x:v>54</x:v>
      </x:c>
    </x:row>
    <x:row r="412">
      <x:c r="A412" t="str">
        <x:v>PMS.RM06</x:v>
      </x:c>
      <x:c r="B412" t="str">
        <x:v>Mobiliario</x:v>
      </x:c>
      <x:c r="C412" s="8" t="str">
        <x:v>Pies de Mesa Manuales</x:v>
      </x:c>
      <x:c r="D412" s="8" t="str">
        <x:v>Pie de Mesa Simple RM06 - Elevacion Manual</x:v>
      </x:c>
      <x:c r="E412" s="8" t="str">
        <x:v>pms-rm06.png</x:v>
      </x:c>
      <x:c r="F412" s="30"/>
      <x:c r="G412" s="34" t="n">
        <x:v>0</x:v>
      </x:c>
      <x:c r="H412" s="30"/>
      <x:c r="I412" s="32" t="str">
        <x:f>IF(H412&lt;&gt;"",H412,IF(F412="","",ROUND((F412*(1+Ajustes!$B$3/100)*(1+IFERROR(VLOOKUP(B412,Ajustes!$A$7:$B$24,2,FALSE),0)/100)*(1+G412/100))/Ajustes!$B$4,0)*Ajustes!$B$4))</x:f>
      </x:c>
      <x:c r="J412" t="n">
        <x:v>54</x:v>
      </x:c>
    </x:row>
    <x:row r="413">
      <x:c r="A413" t="str">
        <x:v>PMS.RM07</x:v>
      </x:c>
      <x:c r="B413" t="str">
        <x:v>Mobiliario</x:v>
      </x:c>
      <x:c r="C413" s="8" t="str">
        <x:v>Pies de Mesa Manuales</x:v>
      </x:c>
      <x:c r="D413" s="8" t="str">
        <x:v>Pie de Mesa Simple RM07 - Elevacion Manual</x:v>
      </x:c>
      <x:c r="E413" s="8" t="str">
        <x:v>pms-rm07.png</x:v>
      </x:c>
      <x:c r="F413" s="30"/>
      <x:c r="G413" s="34" t="n">
        <x:v>0</x:v>
      </x:c>
      <x:c r="H413" s="30"/>
      <x:c r="I413" s="32" t="str">
        <x:f>IF(H413&lt;&gt;"",H413,IF(F413="","",ROUND((F413*(1+Ajustes!$B$3/100)*(1+IFERROR(VLOOKUP(B413,Ajustes!$A$7:$B$24,2,FALSE),0)/100)*(1+G413/100))/Ajustes!$B$4,0)*Ajustes!$B$4))</x:f>
      </x:c>
      <x:c r="J413" t="n">
        <x:v>54</x:v>
      </x:c>
    </x:row>
    <x:row r="414">
      <x:c r="A414" t="str">
        <x:v>PMS.RM08</x:v>
      </x:c>
      <x:c r="B414" t="str">
        <x:v>Mobiliario</x:v>
      </x:c>
      <x:c r="C414" s="8" t="str">
        <x:v>Pies de Mesa Manuales</x:v>
      </x:c>
      <x:c r="D414" s="8" t="str">
        <x:v>Pie de Mesa Simple RM08 - Elevacion Manual</x:v>
      </x:c>
      <x:c r="E414" s="8" t="str">
        <x:v>pms-rm08.png</x:v>
      </x:c>
      <x:c r="F414" s="30"/>
      <x:c r="G414" s="34" t="n">
        <x:v>0</x:v>
      </x:c>
      <x:c r="H414" s="30"/>
      <x:c r="I414" s="32" t="str">
        <x:f>IF(H414&lt;&gt;"",H414,IF(F414="","",ROUND((F414*(1+Ajustes!$B$3/100)*(1+IFERROR(VLOOKUP(B414,Ajustes!$A$7:$B$24,2,FALSE),0)/100)*(1+G414/100))/Ajustes!$B$4,0)*Ajustes!$B$4))</x:f>
      </x:c>
      <x:c r="J414" t="n">
        <x:v>54</x:v>
      </x:c>
    </x:row>
    <x:row r="415">
      <x:c r="A415" t="str">
        <x:v>PM.FC</x:v>
      </x:c>
      <x:c r="B415" t="str">
        <x:v>Mobiliario</x:v>
      </x:c>
      <x:c r="C415" s="8" t="str">
        <x:v>Pies de Mesa Fijos</x:v>
      </x:c>
      <x:c r="D415" s="8" t="str">
        <x:v>Pie de Mesa Fijo Central Sobre Piso - Desmontable</x:v>
      </x:c>
      <x:c r="E415" s="8" t="str">
        <x:v>pm-fc.png</x:v>
      </x:c>
      <x:c r="F415" s="30"/>
      <x:c r="G415" s="34" t="n">
        <x:v>0</x:v>
      </x:c>
      <x:c r="H415" s="30"/>
      <x:c r="I415" s="32" t="str">
        <x:f>IF(H415&lt;&gt;"",H415,IF(F415="","",ROUND((F415*(1+Ajustes!$B$3/100)*(1+IFERROR(VLOOKUP(B415,Ajustes!$A$7:$B$24,2,FALSE),0)/100)*(1+G415/100))/Ajustes!$B$4,0)*Ajustes!$B$4))</x:f>
      </x:c>
      <x:c r="J415" t="n">
        <x:v>54</x:v>
      </x:c>
    </x:row>
    <x:row r="416">
      <x:c r="A416" t="str">
        <x:v>PM.FC.AP</x:v>
      </x:c>
      <x:c r="B416" t="str">
        <x:v>Mobiliario</x:v>
      </x:c>
      <x:c r="C416" s="8" t="str">
        <x:v>Pies de Mesa Fijos</x:v>
      </x:c>
      <x:c r="D416" s="8" t="str">
        <x:v>Pie de Mesa Fijo Central Bajo Piso - Desmontable</x:v>
      </x:c>
      <x:c r="E416" s="8" t="str">
        <x:v>pm-fc-ap.png</x:v>
      </x:c>
      <x:c r="F416" s="30"/>
      <x:c r="G416" s="34" t="n">
        <x:v>0</x:v>
      </x:c>
      <x:c r="H416" s="30"/>
      <x:c r="I416" s="32" t="str">
        <x:f>IF(H416&lt;&gt;"",H416,IF(F416="","",ROUND((F416*(1+Ajustes!$B$3/100)*(1+IFERROR(VLOOKUP(B416,Ajustes!$A$7:$B$24,2,FALSE),0)/100)*(1+G416/100))/Ajustes!$B$4,0)*Ajustes!$B$4))</x:f>
      </x:c>
      <x:c r="J416" t="n">
        <x:v>54</x:v>
      </x:c>
    </x:row>
    <x:row r="417">
      <x:c r="A417" t="str">
        <x:v>BG.MP</x:v>
      </x:c>
      <x:c r="B417" t="str">
        <x:v>Mobiliario</x:v>
      </x:c>
      <x:c r="C417" s="8" t="str">
        <x:v>Pies de Mesa Fijos</x:v>
      </x:c>
      <x:c r="D417" s="8" t="str">
        <x:v>Brazo P/Mesa - Giratorio Articulado Aluminio</x:v>
      </x:c>
      <x:c r="E417" s="8" t="str">
        <x:v>bg-mp.png</x:v>
      </x:c>
      <x:c r="F417" s="30"/>
      <x:c r="G417" s="34" t="n">
        <x:v>0</x:v>
      </x:c>
      <x:c r="H417" s="30"/>
      <x:c r="I417" s="32" t="str">
        <x:f>IF(H417&lt;&gt;"",H417,IF(F417="","",ROUND((F417*(1+Ajustes!$B$3/100)*(1+IFERROR(VLOOKUP(B417,Ajustes!$A$7:$B$24,2,FALSE),0)/100)*(1+G417/100))/Ajustes!$B$4,0)*Ajustes!$B$4))</x:f>
      </x:c>
      <x:c r="J417" t="n">
        <x:v>54</x:v>
      </x:c>
    </x:row>
    <x:row r="418">
      <x:c r="A418" t="str">
        <x:v>BG.M</x:v>
      </x:c>
      <x:c r="B418" t="str">
        <x:v>Mobiliario</x:v>
      </x:c>
      <x:c r="C418" s="8" t="str">
        <x:v>Pies de Mesa Fijos</x:v>
      </x:c>
      <x:c r="D418" s="8" t="str">
        <x:v>Brazo P/Mesa - Giratorio Articulado Aluminio</x:v>
      </x:c>
      <x:c r="E418" s="8" t="str">
        <x:v>bg-m.png</x:v>
      </x:c>
      <x:c r="F418" s="30"/>
      <x:c r="G418" s="34" t="n">
        <x:v>0</x:v>
      </x:c>
      <x:c r="H418" s="30"/>
      <x:c r="I418" s="32" t="str">
        <x:f>IF(H418&lt;&gt;"",H418,IF(F418="","",ROUND((F418*(1+Ajustes!$B$3/100)*(1+IFERROR(VLOOKUP(B418,Ajustes!$A$7:$B$24,2,FALSE),0)/100)*(1+G418/100))/Ajustes!$B$4,0)*Ajustes!$B$4))</x:f>
      </x:c>
      <x:c r="J418" t="n">
        <x:v>55</x:v>
      </x:c>
    </x:row>
    <x:row r="419">
      <x:c r="A419" t="str">
        <x:v>ER.S.N</x:v>
      </x:c>
      <x:c r="B419" t="str">
        <x:v>Seguridad</x:v>
      </x:c>
      <x:c r="C419" s="8" t="str">
        <x:v>Escalones</x:v>
      </x:c>
      <x:c r="D419" s="8" t="str">
        <x:v>Escalon Rebatible Simple P/Puerta Ingreso</x:v>
      </x:c>
      <x:c r="E419" s="8" t="str">
        <x:v>er-s-n.png</x:v>
      </x:c>
      <x:c r="F419" s="30"/>
      <x:c r="G419" s="34" t="n">
        <x:v>0</x:v>
      </x:c>
      <x:c r="H419" s="30"/>
      <x:c r="I419" s="32" t="str">
        <x:f>IF(H419&lt;&gt;"",H419,IF(F419="","",ROUND((F419*(1+Ajustes!$B$3/100)*(1+IFERROR(VLOOKUP(B419,Ajustes!$A$7:$B$24,2,FALSE),0)/100)*(1+G419/100))/Ajustes!$B$4,0)*Ajustes!$B$4))</x:f>
      </x:c>
      <x:c r="J419" t="n">
        <x:v>55</x:v>
      </x:c>
    </x:row>
    <x:row r="420">
      <x:c r="A420" t="str">
        <x:v>M18020</x:v>
      </x:c>
      <x:c r="B420" t="str">
        <x:v>Seguridad</x:v>
      </x:c>
      <x:c r="C420" s="8" t="str">
        <x:v>Matafuegos</x:v>
      </x:c>
      <x:c r="D420" s="8" t="str">
        <x:v>Matafuego Tipo Compacto C/Sopore</x:v>
      </x:c>
      <x:c r="E420" s="8" t="str">
        <x:v>m18020.png</x:v>
      </x:c>
      <x:c r="F420" s="30"/>
      <x:c r="G420" s="34" t="n">
        <x:v>0</x:v>
      </x:c>
      <x:c r="H420" s="30"/>
      <x:c r="I420" s="32" t="str">
        <x:f>IF(H420&lt;&gt;"",H420,IF(F420="","",ROUND((F420*(1+Ajustes!$B$3/100)*(1+IFERROR(VLOOKUP(B420,Ajustes!$A$7:$B$24,2,FALSE),0)/100)*(1+G420/100))/Ajustes!$B$4,0)*Ajustes!$B$4))</x:f>
      </x:c>
      <x:c r="J420" t="n">
        <x:v>55</x:v>
      </x:c>
    </x:row>
    <x:row r="421">
      <x:c r="A421" t="str">
        <x:v>TT.112.G</x:v>
      </x:c>
      <x:c r="B421" t="str">
        <x:v>Seguridad</x:v>
      </x:c>
      <x:c r="C421" s="8" t="str">
        <x:v>Tapas de Tanque de Combustible</x:v>
      </x:c>
      <x:c r="D421" s="8" t="str">
        <x:v>Tapa de Tanque de Gasoil o Nafta C/Traba 1 1/2"- BLANCA C/ROJO</x:v>
      </x:c>
      <x:c r="E421" s="8" t="str">
        <x:v>tt-112-g.png</x:v>
      </x:c>
      <x:c r="F421" s="30"/>
      <x:c r="G421" s="34" t="n">
        <x:v>0</x:v>
      </x:c>
      <x:c r="H421" s="30"/>
      <x:c r="I421" s="32" t="str">
        <x:f>IF(H421&lt;&gt;"",H421,IF(F421="","",ROUND((F421*(1+Ajustes!$B$3/100)*(1+IFERROR(VLOOKUP(B421,Ajustes!$A$7:$B$24,2,FALSE),0)/100)*(1+G421/100))/Ajustes!$B$4,0)*Ajustes!$B$4))</x:f>
      </x:c>
      <x:c r="J421" t="n">
        <x:v>55</x:v>
      </x:c>
    </x:row>
    <x:row r="422">
      <x:c r="A422" t="str">
        <x:v>BC.20</x:v>
      </x:c>
      <x:c r="B422" t="str">
        <x:v>Seguridad</x:v>
      </x:c>
      <x:c r="C422" s="8" t="str">
        <x:v>Bidones para Combustible</x:v>
      </x:c>
      <x:c r="D422" s="8" t="str">
        <x:v>Bidon Combustible 20L</x:v>
      </x:c>
      <x:c r="E422" s="8" t="str">
        <x:v>bc-20.png</x:v>
      </x:c>
      <x:c r="F422" s="30"/>
      <x:c r="G422" s="34" t="n">
        <x:v>0</x:v>
      </x:c>
      <x:c r="H422" s="30"/>
      <x:c r="I422" s="32" t="str">
        <x:f>IF(H422&lt;&gt;"",H422,IF(F422="","",ROUND((F422*(1+Ajustes!$B$3/100)*(1+IFERROR(VLOOKUP(B422,Ajustes!$A$7:$B$24,2,FALSE),0)/100)*(1+G422/100))/Ajustes!$B$4,0)*Ajustes!$B$4))</x:f>
      </x:c>
      <x:c r="J422" t="n">
        <x:v>55</x:v>
      </x:c>
    </x:row>
    <x:row r="423">
      <x:c r="A423" t="str">
        <x:v>BC.10</x:v>
      </x:c>
      <x:c r="B423" t="str">
        <x:v>Seguridad</x:v>
      </x:c>
      <x:c r="C423" s="8" t="str">
        <x:v>Bidones para Combustible</x:v>
      </x:c>
      <x:c r="D423" s="8" t="str">
        <x:v>Bidon Combustible 10L</x:v>
      </x:c>
      <x:c r="E423" s="8" t="str">
        <x:v>bc-10.png</x:v>
      </x:c>
      <x:c r="F423" s="30"/>
      <x:c r="G423" s="34" t="n">
        <x:v>0</x:v>
      </x:c>
      <x:c r="H423" s="30"/>
      <x:c r="I423" s="32" t="str">
        <x:f>IF(H423&lt;&gt;"",H423,IF(F423="","",ROUND((F423*(1+Ajustes!$B$3/100)*(1+IFERROR(VLOOKUP(B423,Ajustes!$A$7:$B$24,2,FALSE),0)/100)*(1+G423/100))/Ajustes!$B$4,0)*Ajustes!$B$4))</x:f>
      </x:c>
      <x:c r="J423" t="n">
        <x:v>55</x:v>
      </x:c>
    </x:row>
    <x:row r="424">
      <x:c r="A424" t="str">
        <x:v>BC.5</x:v>
      </x:c>
      <x:c r="B424" t="str">
        <x:v>Seguridad</x:v>
      </x:c>
      <x:c r="C424" s="8" t="str">
        <x:v>Bidones para Combustible</x:v>
      </x:c>
      <x:c r="D424" s="8" t="str">
        <x:v>Bidon Combustible 5L</x:v>
      </x:c>
      <x:c r="E424" s="8" t="str">
        <x:v>bc-5.png</x:v>
      </x:c>
      <x:c r="F424" s="30"/>
      <x:c r="G424" s="34" t="n">
        <x:v>0</x:v>
      </x:c>
      <x:c r="H424" s="30"/>
      <x:c r="I424" s="32" t="str">
        <x:f>IF(H424&lt;&gt;"",H424,IF(F424="","",ROUND((F424*(1+Ajustes!$B$3/100)*(1+IFERROR(VLOOKUP(B424,Ajustes!$A$7:$B$24,2,FALSE),0)/100)*(1+G424/100))/Ajustes!$B$4,0)*Ajustes!$B$4))</x:f>
      </x:c>
      <x:c r="J424" t="n">
        <x:v>55</x:v>
      </x:c>
    </x:row>
    <x:row r="425">
      <x:c r="A425" t="str">
        <x:v>LS.5000</x:v>
      </x:c>
      <x:c r="B425" t="str">
        <x:v>Seguridad</x:v>
      </x:c>
      <x:c r="C425" s="8" t="str">
        <x:v>Lingas y Sunchos</x:v>
      </x:c>
      <x:c r="D425" s="8" t="str">
        <x:v>Linga/Suncho 2" con Cricket</x:v>
      </x:c>
      <x:c r="E425" s="8" t="str">
        <x:v>ls-5000.png</x:v>
      </x:c>
      <x:c r="F425" s="30"/>
      <x:c r="G425" s="34" t="n">
        <x:v>0</x:v>
      </x:c>
      <x:c r="H425" s="30"/>
      <x:c r="I425" s="32" t="str">
        <x:f>IF(H425&lt;&gt;"",H425,IF(F425="","",ROUND((F425*(1+Ajustes!$B$3/100)*(1+IFERROR(VLOOKUP(B425,Ajustes!$A$7:$B$24,2,FALSE),0)/100)*(1+G425/100))/Ajustes!$B$4,0)*Ajustes!$B$4))</x:f>
      </x:c>
      <x:c r="J425" t="n">
        <x:v>56</x:v>
      </x:c>
    </x:row>
    <x:row r="426">
      <x:c r="A426" t="str">
        <x:v>LS.800</x:v>
      </x:c>
      <x:c r="B426" t="str">
        <x:v>Seguridad</x:v>
      </x:c>
      <x:c r="C426" s="8" t="str">
        <x:v>Lingas y Sunchos</x:v>
      </x:c>
      <x:c r="D426" s="8" t="str">
        <x:v>Linga/Suncho 1" con Cricket</x:v>
      </x:c>
      <x:c r="E426" s="8" t="str">
        <x:v>ls-800.png</x:v>
      </x:c>
      <x:c r="F426" s="30"/>
      <x:c r="G426" s="34" t="n">
        <x:v>0</x:v>
      </x:c>
      <x:c r="H426" s="30"/>
      <x:c r="I426" s="32" t="str">
        <x:f>IF(H426&lt;&gt;"",H426,IF(F426="","",ROUND((F426*(1+Ajustes!$B$3/100)*(1+IFERROR(VLOOKUP(B426,Ajustes!$A$7:$B$24,2,FALSE),0)/100)*(1+G426/100))/Ajustes!$B$4,0)*Ajustes!$B$4))</x:f>
      </x:c>
      <x:c r="J426" t="n">
        <x:v>56</x:v>
      </x:c>
    </x:row>
    <x:row r="427">
      <x:c r="A427" t="str">
        <x:v>TI.LC.B</x:v>
      </x:c>
      <x:c r="B427" t="str">
        <x:v>Sanitarios</x:v>
      </x:c>
      <x:c r="C427" s="8" t="str">
        <x:v>Tapas de Inspección - Con Llave</x:v>
      </x:c>
      <x:c r="D427" s="8" t="str">
        <x:v>Tapa Estanca Plastica de Inspeccion C/Llave - CHICA</x:v>
      </x:c>
      <x:c r="E427" s="8" t="str">
        <x:v>ti-lc-b.png</x:v>
      </x:c>
      <x:c r="F427" s="30"/>
      <x:c r="G427" s="34" t="n">
        <x:v>0</x:v>
      </x:c>
      <x:c r="H427" s="30"/>
      <x:c r="I427" s="32" t="str">
        <x:f>IF(H427&lt;&gt;"",H427,IF(F427="","",ROUND((F427*(1+Ajustes!$B$3/100)*(1+IFERROR(VLOOKUP(B427,Ajustes!$A$7:$B$24,2,FALSE),0)/100)*(1+G427/100))/Ajustes!$B$4,0)*Ajustes!$B$4))</x:f>
      </x:c>
      <x:c r="J427" t="n">
        <x:v>56</x:v>
      </x:c>
    </x:row>
    <x:row r="428">
      <x:c r="A428" t="str">
        <x:v>TI.LM.B</x:v>
      </x:c>
      <x:c r="B428" t="str">
        <x:v>Sanitarios</x:v>
      </x:c>
      <x:c r="C428" s="8" t="str">
        <x:v>Tapas de Inspección - Con Llave</x:v>
      </x:c>
      <x:c r="D428" s="8" t="str">
        <x:v>Tapa Estanca Plastica de Inspeccion C/Llave - MEDIANA</x:v>
      </x:c>
      <x:c r="E428" s="8" t="str">
        <x:v>ti-lm-b.png</x:v>
      </x:c>
      <x:c r="F428" s="30"/>
      <x:c r="G428" s="34" t="n">
        <x:v>0</x:v>
      </x:c>
      <x:c r="H428" s="30"/>
      <x:c r="I428" s="32" t="str">
        <x:f>IF(H428&lt;&gt;"",H428,IF(F428="","",ROUND((F428*(1+Ajustes!$B$3/100)*(1+IFERROR(VLOOKUP(B428,Ajustes!$A$7:$B$24,2,FALSE),0)/100)*(1+G428/100))/Ajustes!$B$4,0)*Ajustes!$B$4))</x:f>
      </x:c>
      <x:c r="J428" t="n">
        <x:v>56</x:v>
      </x:c>
    </x:row>
    <x:row r="429">
      <x:c r="A429" t="str">
        <x:v>TI.LG.B</x:v>
      </x:c>
      <x:c r="B429" t="str">
        <x:v>Sanitarios</x:v>
      </x:c>
      <x:c r="C429" s="8" t="str">
        <x:v>Tapas de Inspección - Con Llave</x:v>
      </x:c>
      <x:c r="D429" s="8" t="str">
        <x:v>Tapa Estanca Plastica de Inspeccion C/Llave - GRANDE</x:v>
      </x:c>
      <x:c r="E429" s="8" t="str">
        <x:v>ti-lg-b.png</x:v>
      </x:c>
      <x:c r="F429" s="30"/>
      <x:c r="G429" s="34" t="n">
        <x:v>0</x:v>
      </x:c>
      <x:c r="H429" s="30"/>
      <x:c r="I429" s="32" t="str">
        <x:f>IF(H429&lt;&gt;"",H429,IF(F429="","",ROUND((F429*(1+Ajustes!$B$3/100)*(1+IFERROR(VLOOKUP(B429,Ajustes!$A$7:$B$24,2,FALSE),0)/100)*(1+G429/100))/Ajustes!$B$4,0)*Ajustes!$B$4))</x:f>
      </x:c>
      <x:c r="J429" t="n">
        <x:v>56</x:v>
      </x:c>
    </x:row>
    <x:row r="430">
      <x:c r="A430" t="str">
        <x:v>TI.LVC.B</x:v>
      </x:c>
      <x:c r="B430" t="str">
        <x:v>Sanitarios</x:v>
      </x:c>
      <x:c r="C430" s="8" t="str">
        <x:v>Tapas de Inspección - Con Llave</x:v>
      </x:c>
      <x:c r="D430" s="8" t="str">
        <x:v>Tapa Estanca Plastica de Inspeccion C/Llave + Ventana Corrediza</x:v>
      </x:c>
      <x:c r="E430" s="8" t="str">
        <x:v>ti-lvc-b.png</x:v>
      </x:c>
      <x:c r="F430" s="30"/>
      <x:c r="G430" s="34" t="n">
        <x:v>0</x:v>
      </x:c>
      <x:c r="H430" s="30"/>
      <x:c r="I430" s="32" t="str">
        <x:f>IF(H430&lt;&gt;"",H430,IF(F430="","",ROUND((F430*(1+Ajustes!$B$3/100)*(1+IFERROR(VLOOKUP(B430,Ajustes!$A$7:$B$24,2,FALSE),0)/100)*(1+G430/100))/Ajustes!$B$4,0)*Ajustes!$B$4))</x:f>
      </x:c>
      <x:c r="J430" t="n">
        <x:v>56</x:v>
      </x:c>
    </x:row>
    <x:row r="431">
      <x:c r="A431" t="str">
        <x:v>TI.LVM.B</x:v>
      </x:c>
      <x:c r="B431" t="str">
        <x:v>Sanitarios</x:v>
      </x:c>
      <x:c r="C431" s="8" t="str">
        <x:v>Tapas de Inspección - Con Llave</x:v>
      </x:c>
      <x:c r="D431" s="8" t="str">
        <x:v>Tapa Estanca Plastica de Inspeccion C/Llave + Ventana Corrediza</x:v>
      </x:c>
      <x:c r="E431" s="8" t="str">
        <x:v>ti-lvm-b.png</x:v>
      </x:c>
      <x:c r="F431" s="30"/>
      <x:c r="G431" s="34" t="n">
        <x:v>0</x:v>
      </x:c>
      <x:c r="H431" s="30"/>
      <x:c r="I431" s="32" t="str">
        <x:f>IF(H431&lt;&gt;"",H431,IF(F431="","",ROUND((F431*(1+Ajustes!$B$3/100)*(1+IFERROR(VLOOKUP(B431,Ajustes!$A$7:$B$24,2,FALSE),0)/100)*(1+G431/100))/Ajustes!$B$4,0)*Ajustes!$B$4))</x:f>
      </x:c>
      <x:c r="J431" t="n">
        <x:v>56</x:v>
      </x:c>
    </x:row>
    <x:row r="432">
      <x:c r="A432" t="str">
        <x:v>TI.TC.B</x:v>
      </x:c>
      <x:c r="B432" t="str">
        <x:v>Sanitarios</x:v>
      </x:c>
      <x:c r="C432" s="8" t="str">
        <x:v>Tapas de Inspección - Con Traba</x:v>
      </x:c>
      <x:c r="D432" s="8" t="str">
        <x:v>Tapa Estanca Plastica de Inspeccion C/1 Traba</x:v>
      </x:c>
      <x:c r="E432" s="8" t="str">
        <x:v>ti-tc-b.png</x:v>
      </x:c>
      <x:c r="F432" s="30"/>
      <x:c r="G432" s="34" t="n">
        <x:v>0</x:v>
      </x:c>
      <x:c r="H432" s="30"/>
      <x:c r="I432" s="32" t="str">
        <x:f>IF(H432&lt;&gt;"",H432,IF(F432="","",ROUND((F432*(1+Ajustes!$B$3/100)*(1+IFERROR(VLOOKUP(B432,Ajustes!$A$7:$B$24,2,FALSE),0)/100)*(1+G432/100))/Ajustes!$B$4,0)*Ajustes!$B$4))</x:f>
      </x:c>
      <x:c r="J432" t="n">
        <x:v>57</x:v>
      </x:c>
    </x:row>
    <x:row r="433">
      <x:c r="A433" t="str">
        <x:v>TI.TM.B</x:v>
      </x:c>
      <x:c r="B433" t="str">
        <x:v>Sanitarios</x:v>
      </x:c>
      <x:c r="C433" s="8" t="str">
        <x:v>Tapas de Inspección - Con Traba</x:v>
      </x:c>
      <x:c r="D433" s="8" t="str">
        <x:v>Tapa Estanca Plastica de Inspeccion C/2 Traba MEDIANA 44x31,5x4 cm</x:v>
      </x:c>
      <x:c r="E433" s="8" t="str">
        <x:v>ti-tm-b.png</x:v>
      </x:c>
      <x:c r="F433" s="30"/>
      <x:c r="G433" s="34" t="n">
        <x:v>0</x:v>
      </x:c>
      <x:c r="H433" s="30"/>
      <x:c r="I433" s="32" t="str">
        <x:f>IF(H433&lt;&gt;"",H433,IF(F433="","",ROUND((F433*(1+Ajustes!$B$3/100)*(1+IFERROR(VLOOKUP(B433,Ajustes!$A$7:$B$24,2,FALSE),0)/100)*(1+G433/100))/Ajustes!$B$4,0)*Ajustes!$B$4))</x:f>
      </x:c>
      <x:c r="J433" t="n">
        <x:v>57</x:v>
      </x:c>
    </x:row>
    <x:row r="434">
      <x:c r="A434" t="str">
        <x:v>TI.TG.B</x:v>
      </x:c>
      <x:c r="B434" t="str">
        <x:v>Sanitarios</x:v>
      </x:c>
      <x:c r="C434" s="8" t="str">
        <x:v>Tapas de Inspección - Con Traba</x:v>
      </x:c>
      <x:c r="D434" s="8" t="str">
        <x:v>Tapa Estanca Plastica de Inspeccion C/2 Traba GRANDE 60,5x35x4 cm</x:v>
      </x:c>
      <x:c r="E434" s="8" t="str">
        <x:v>ti-tg-b.png</x:v>
      </x:c>
      <x:c r="F434" s="30"/>
      <x:c r="G434" s="34" t="n">
        <x:v>0</x:v>
      </x:c>
      <x:c r="H434" s="30"/>
      <x:c r="I434" s="32" t="str">
        <x:f>IF(H434&lt;&gt;"",H434,IF(F434="","",ROUND((F434*(1+Ajustes!$B$3/100)*(1+IFERROR(VLOOKUP(B434,Ajustes!$A$7:$B$24,2,FALSE),0)/100)*(1+G434/100))/Ajustes!$B$4,0)*Ajustes!$B$4))</x:f>
      </x:c>
      <x:c r="J434" t="n">
        <x:v>57</x:v>
      </x:c>
    </x:row>
    <x:row r="435">
      <x:c r="A435" t="str">
        <x:v>TI.4.BC</x:v>
      </x:c>
      <x:c r="B435" t="str">
        <x:v>Sanitarios</x:v>
      </x:c>
      <x:c r="C435" s="8" t="str">
        <x:v>Tapas de Inspección - Simples</x:v>
      </x:c>
      <x:c r="D435" s="8" t="str">
        <x:v>Tapa Estanca Plastica de Inspeccion Redonda 4"</x:v>
      </x:c>
      <x:c r="E435" s="8" t="str">
        <x:v>ti-4-bc.png</x:v>
      </x:c>
      <x:c r="F435" s="30"/>
      <x:c r="G435" s="34" t="n">
        <x:v>0</x:v>
      </x:c>
      <x:c r="H435" s="30"/>
      <x:c r="I435" s="32" t="str">
        <x:f>IF(H435&lt;&gt;"",H435,IF(F435="","",ROUND((F435*(1+Ajustes!$B$3/100)*(1+IFERROR(VLOOKUP(B435,Ajustes!$A$7:$B$24,2,FALSE),0)/100)*(1+G435/100))/Ajustes!$B$4,0)*Ajustes!$B$4))</x:f>
      </x:c>
      <x:c r="J435" t="n">
        <x:v>57</x:v>
      </x:c>
    </x:row>
    <x:row r="436">
      <x:c r="A436" t="str">
        <x:v>TI.4.NC</x:v>
      </x:c>
      <x:c r="B436" t="str">
        <x:v>Sanitarios</x:v>
      </x:c>
      <x:c r="C436" s="8" t="str">
        <x:v>Tapas de Inspección - Simples</x:v>
      </x:c>
      <x:c r="D436" s="8" t="str">
        <x:v>Tapa Estanca Plastica de Inspeccion Redonda 4"</x:v>
      </x:c>
      <x:c r="E436" s="8" t="str">
        <x:v>ti-4-nc.png</x:v>
      </x:c>
      <x:c r="F436" s="30"/>
      <x:c r="G436" s="34" t="n">
        <x:v>0</x:v>
      </x:c>
      <x:c r="H436" s="30"/>
      <x:c r="I436" s="32" t="str">
        <x:f>IF(H436&lt;&gt;"",H436,IF(F436="","",ROUND((F436*(1+Ajustes!$B$3/100)*(1+IFERROR(VLOOKUP(B436,Ajustes!$A$7:$B$24,2,FALSE),0)/100)*(1+G436/100))/Ajustes!$B$4,0)*Ajustes!$B$4))</x:f>
      </x:c>
      <x:c r="J436" t="n">
        <x:v>57</x:v>
      </x:c>
    </x:row>
    <x:row r="437">
      <x:c r="A437" t="str">
        <x:v>TI.6.BC</x:v>
      </x:c>
      <x:c r="B437" t="str">
        <x:v>Sanitarios</x:v>
      </x:c>
      <x:c r="C437" s="8" t="str">
        <x:v>Tapas de Inspección - Simples</x:v>
      </x:c>
      <x:c r="D437" s="8" t="str">
        <x:v>Tapa Estanca Plastica de Inspeccion Redonda 6"</x:v>
      </x:c>
      <x:c r="E437" s="8" t="str">
        <x:v>ti-6-bc.png</x:v>
      </x:c>
      <x:c r="F437" s="30"/>
      <x:c r="G437" s="34" t="n">
        <x:v>0</x:v>
      </x:c>
      <x:c r="H437" s="30"/>
      <x:c r="I437" s="32" t="str">
        <x:f>IF(H437&lt;&gt;"",H437,IF(F437="","",ROUND((F437*(1+Ajustes!$B$3/100)*(1+IFERROR(VLOOKUP(B437,Ajustes!$A$7:$B$24,2,FALSE),0)/100)*(1+G437/100))/Ajustes!$B$4,0)*Ajustes!$B$4))</x:f>
      </x:c>
      <x:c r="J437" t="n">
        <x:v>57</x:v>
      </x:c>
    </x:row>
    <x:row r="438">
      <x:c r="A438" t="str">
        <x:v>BBC12077</x:v>
      </x:c>
      <x:c r="B438" t="str">
        <x:v>Sanitarios</x:v>
      </x:c>
      <x:c r="C438" s="8" t="str">
        <x:v>Modulos de Baño - Fibra de Vidrio</x:v>
      </x:c>
      <x:c r="D438" s="8" t="str">
        <x:v>Box de Baño Completo</x:v>
      </x:c>
      <x:c r="E438" s="8" t="str">
        <x:v>bbc12077.png</x:v>
      </x:c>
      <x:c r="F438" s="30"/>
      <x:c r="G438" s="34" t="n">
        <x:v>0</x:v>
      </x:c>
      <x:c r="H438" s="30"/>
      <x:c r="I438" s="32" t="str">
        <x:f>IF(H438&lt;&gt;"",H438,IF(F438="","",ROUND((F438*(1+Ajustes!$B$3/100)*(1+IFERROR(VLOOKUP(B438,Ajustes!$A$7:$B$24,2,FALSE),0)/100)*(1+G438/100))/Ajustes!$B$4,0)*Ajustes!$B$4))</x:f>
      </x:c>
      <x:c r="J438" t="n">
        <x:v>57</x:v>
      </x:c>
    </x:row>
    <x:row r="439">
      <x:c r="A439" t="str">
        <x:v>BBC11077</x:v>
      </x:c>
      <x:c r="B439" t="str">
        <x:v>Sanitarios</x:v>
      </x:c>
      <x:c r="C439" s="8" t="str">
        <x:v>Modulos de Baño - Fibra de Vidrio</x:v>
      </x:c>
      <x:c r="D439" s="8" t="str">
        <x:v>Box de Baño Completo</x:v>
      </x:c>
      <x:c r="E439" s="8" t="str">
        <x:v>bbc11077.png</x:v>
      </x:c>
      <x:c r="F439" s="30"/>
      <x:c r="G439" s="34" t="n">
        <x:v>0</x:v>
      </x:c>
      <x:c r="H439" s="30"/>
      <x:c r="I439" s="32" t="str">
        <x:f>IF(H439&lt;&gt;"",H439,IF(F439="","",ROUND((F439*(1+Ajustes!$B$3/100)*(1+IFERROR(VLOOKUP(B439,Ajustes!$A$7:$B$24,2,FALSE),0)/100)*(1+G439/100))/Ajustes!$B$4,0)*Ajustes!$B$4))</x:f>
      </x:c>
      <x:c r="J439" t="n">
        <x:v>58</x:v>
      </x:c>
    </x:row>
    <x:row r="440">
      <x:c r="A440" t="str">
        <x:v>BBC8292</x:v>
      </x:c>
      <x:c r="B440" t="str">
        <x:v>Sanitarios</x:v>
      </x:c>
      <x:c r="C440" s="8" t="str">
        <x:v>Modulos de Baño - Fibra de Vidrio</x:v>
      </x:c>
      <x:c r="D440" s="8" t="str">
        <x:v>Box de Baño Completo</x:v>
      </x:c>
      <x:c r="E440" s="8" t="str">
        <x:v>bbc8292.png</x:v>
      </x:c>
      <x:c r="F440" s="30"/>
      <x:c r="G440" s="34" t="n">
        <x:v>0</x:v>
      </x:c>
      <x:c r="H440" s="30"/>
      <x:c r="I440" s="32" t="str">
        <x:f>IF(H440&lt;&gt;"",H440,IF(F440="","",ROUND((F440*(1+Ajustes!$B$3/100)*(1+IFERROR(VLOOKUP(B440,Ajustes!$A$7:$B$24,2,FALSE),0)/100)*(1+G440/100))/Ajustes!$B$4,0)*Ajustes!$B$4))</x:f>
      </x:c>
      <x:c r="J440" t="n">
        <x:v>58</x:v>
      </x:c>
    </x:row>
    <x:row r="441">
      <x:c r="A441" t="str">
        <x:v>BBC7090</x:v>
      </x:c>
      <x:c r="B441" t="str">
        <x:v>Sanitarios</x:v>
      </x:c>
      <x:c r="C441" s="8" t="str">
        <x:v>Modulos de Baño - Fibra de Vidrio</x:v>
      </x:c>
      <x:c r="D441" s="8" t="str">
        <x:v>Box de Baño Completo</x:v>
      </x:c>
      <x:c r="E441" s="8" t="str">
        <x:v>bbc7090.png</x:v>
      </x:c>
      <x:c r="F441" s="30"/>
      <x:c r="G441" s="34" t="n">
        <x:v>0</x:v>
      </x:c>
      <x:c r="H441" s="30"/>
      <x:c r="I441" s="32" t="str">
        <x:f>IF(H441&lt;&gt;"",H441,IF(F441="","",ROUND((F441*(1+Ajustes!$B$3/100)*(1+IFERROR(VLOOKUP(B441,Ajustes!$A$7:$B$24,2,FALSE),0)/100)*(1+G441/100))/Ajustes!$B$4,0)*Ajustes!$B$4))</x:f>
      </x:c>
      <x:c r="J441" t="n">
        <x:v>58</x:v>
      </x:c>
    </x:row>
    <x:row r="442">
      <x:c r="A442" t="str">
        <x:v>BBM12077</x:v>
      </x:c>
      <x:c r="B442" t="str">
        <x:v>Sanitarios</x:v>
      </x:c>
      <x:c r="C442" s="8" t="str">
        <x:v>Modulos de Baño - Fibra de Vidrio</x:v>
      </x:c>
      <x:c r="D442" s="8" t="str">
        <x:v>Box de Baño Medio</x:v>
      </x:c>
      <x:c r="E442" s="8" t="str">
        <x:v>bbm12077.png</x:v>
      </x:c>
      <x:c r="F442" s="30"/>
      <x:c r="G442" s="34" t="n">
        <x:v>0</x:v>
      </x:c>
      <x:c r="H442" s="30"/>
      <x:c r="I442" s="32" t="str">
        <x:f>IF(H442&lt;&gt;"",H442,IF(F442="","",ROUND((F442*(1+Ajustes!$B$3/100)*(1+IFERROR(VLOOKUP(B442,Ajustes!$A$7:$B$24,2,FALSE),0)/100)*(1+G442/100))/Ajustes!$B$4,0)*Ajustes!$B$4))</x:f>
      </x:c>
      <x:c r="J442" t="n">
        <x:v>58</x:v>
      </x:c>
    </x:row>
    <x:row r="443">
      <x:c r="A443" t="str">
        <x:v>BBM11077</x:v>
      </x:c>
      <x:c r="B443" t="str">
        <x:v>Sanitarios</x:v>
      </x:c>
      <x:c r="C443" s="8" t="str">
        <x:v>Modulos de Baño - Fibra de Vidrio</x:v>
      </x:c>
      <x:c r="D443" s="8" t="str">
        <x:v>Box de Baño Medio</x:v>
      </x:c>
      <x:c r="E443" s="8" t="str">
        <x:v>bbm11077.png</x:v>
      </x:c>
      <x:c r="F443" s="30"/>
      <x:c r="G443" s="34" t="n">
        <x:v>0</x:v>
      </x:c>
      <x:c r="H443" s="30"/>
      <x:c r="I443" s="32" t="str">
        <x:f>IF(H443&lt;&gt;"",H443,IF(F443="","",ROUND((F443*(1+Ajustes!$B$3/100)*(1+IFERROR(VLOOKUP(B443,Ajustes!$A$7:$B$24,2,FALSE),0)/100)*(1+G443/100))/Ajustes!$B$4,0)*Ajustes!$B$4))</x:f>
      </x:c>
      <x:c r="J443" t="n">
        <x:v>58</x:v>
      </x:c>
    </x:row>
    <x:row r="444">
      <x:c r="A444" t="str">
        <x:v>BBM8292</x:v>
      </x:c>
      <x:c r="B444" t="str">
        <x:v>Sanitarios</x:v>
      </x:c>
      <x:c r="C444" s="8" t="str">
        <x:v>Modulos de Baño - Fibra de Vidrio</x:v>
      </x:c>
      <x:c r="D444" s="8" t="str">
        <x:v>Box de Baño Medio</x:v>
      </x:c>
      <x:c r="E444" s="8" t="str">
        <x:v>bbm8292.png</x:v>
      </x:c>
      <x:c r="F444" s="30"/>
      <x:c r="G444" s="34" t="n">
        <x:v>0</x:v>
      </x:c>
      <x:c r="H444" s="30"/>
      <x:c r="I444" s="32" t="str">
        <x:f>IF(H444&lt;&gt;"",H444,IF(F444="","",ROUND((F444*(1+Ajustes!$B$3/100)*(1+IFERROR(VLOOKUP(B444,Ajustes!$A$7:$B$24,2,FALSE),0)/100)*(1+G444/100))/Ajustes!$B$4,0)*Ajustes!$B$4))</x:f>
      </x:c>
      <x:c r="J444" t="n">
        <x:v>58</x:v>
      </x:c>
    </x:row>
    <x:row r="445">
      <x:c r="A445" t="str">
        <x:v>BBM7090</x:v>
      </x:c>
      <x:c r="B445" t="str">
        <x:v>Sanitarios</x:v>
      </x:c>
      <x:c r="C445" s="8" t="str">
        <x:v>Modulos de Baño - Fibra de Vidrio</x:v>
      </x:c>
      <x:c r="D445" s="8" t="str">
        <x:v>Box de Baño Medio</x:v>
      </x:c>
      <x:c r="E445" s="8" t="str">
        <x:v>bbm7090.png</x:v>
      </x:c>
      <x:c r="F445" s="30"/>
      <x:c r="G445" s="34" t="n">
        <x:v>0</x:v>
      </x:c>
      <x:c r="H445" s="30"/>
      <x:c r="I445" s="32" t="str">
        <x:f>IF(H445&lt;&gt;"",H445,IF(F445="","",ROUND((F445*(1+Ajustes!$B$3/100)*(1+IFERROR(VLOOKUP(B445,Ajustes!$A$7:$B$24,2,FALSE),0)/100)*(1+G445/100))/Ajustes!$B$4,0)*Ajustes!$B$4))</x:f>
      </x:c>
      <x:c r="J445" t="n">
        <x:v>58</x:v>
      </x:c>
    </x:row>
    <x:row r="446">
      <x:c r="A446" t="str">
        <x:v>BBM8670</x:v>
      </x:c>
      <x:c r="B446" t="str">
        <x:v>Sanitarios</x:v>
      </x:c>
      <x:c r="C446" s="8" t="str">
        <x:v>Modulos de Baño - Fibra de Vidrio</x:v>
      </x:c>
      <x:c r="D446" s="8" t="str">
        <x:v>Box de Baño Medio</x:v>
      </x:c>
      <x:c r="E446" s="8" t="str">
        <x:v>bbm8670.png</x:v>
      </x:c>
      <x:c r="F446" s="30"/>
      <x:c r="G446" s="34" t="n">
        <x:v>0</x:v>
      </x:c>
      <x:c r="H446" s="30"/>
      <x:c r="I446" s="32" t="str">
        <x:f>IF(H446&lt;&gt;"",H446,IF(F446="","",ROUND((F446*(1+Ajustes!$B$3/100)*(1+IFERROR(VLOOKUP(B446,Ajustes!$A$7:$B$24,2,FALSE),0)/100)*(1+G446/100))/Ajustes!$B$4,0)*Ajustes!$B$4))</x:f>
      </x:c>
      <x:c r="J446" t="n">
        <x:v>59</x:v>
      </x:c>
    </x:row>
    <x:row r="447">
      <x:c r="A447" t="str">
        <x:v>PFV</x:v>
      </x:c>
      <x:c r="B447" t="str">
        <x:v>Sanitarios</x:v>
      </x:c>
      <x:c r="C447" s="8" t="str">
        <x:v>Modulos de Baño - Fibra de Vidrio</x:v>
      </x:c>
      <x:c r="D447" s="8" t="str">
        <x:v>Puerta de Fibra de Vidrio</x:v>
      </x:c>
      <x:c r="E447" s="8" t="str">
        <x:v>pfv.png</x:v>
      </x:c>
      <x:c r="F447" s="30"/>
      <x:c r="G447" s="34" t="n">
        <x:v>0</x:v>
      </x:c>
      <x:c r="H447" s="30"/>
      <x:c r="I447" s="32" t="str">
        <x:f>IF(H447&lt;&gt;"",H447,IF(F447="","",ROUND((F447*(1+Ajustes!$B$3/100)*(1+IFERROR(VLOOKUP(B447,Ajustes!$A$7:$B$24,2,FALSE),0)/100)*(1+G447/100))/Ajustes!$B$4,0)*Ajustes!$B$4))</x:f>
      </x:c>
      <x:c r="J447" t="n">
        <x:v>59</x:v>
      </x:c>
    </x:row>
    <x:row r="448">
      <x:c r="A448" t="str">
        <x:v>PD.6060</x:v>
      </x:c>
      <x:c r="B448" t="str">
        <x:v>Sanitarios</x:v>
      </x:c>
      <x:c r="C448" s="8" t="str">
        <x:v>Pisos/Receptaculos de Ducha</x:v>
      </x:c>
      <x:c r="D448" s="8" t="str">
        <x:v>Piso de Ducha 60x60x6 cm</x:v>
      </x:c>
      <x:c r="E448" s="8" t="str">
        <x:v>pd-6060.png</x:v>
      </x:c>
      <x:c r="F448" s="30"/>
      <x:c r="G448" s="34" t="n">
        <x:v>0</x:v>
      </x:c>
      <x:c r="H448" s="30"/>
      <x:c r="I448" s="32" t="str">
        <x:f>IF(H448&lt;&gt;"",H448,IF(F448="","",ROUND((F448*(1+Ajustes!$B$3/100)*(1+IFERROR(VLOOKUP(B448,Ajustes!$A$7:$B$24,2,FALSE),0)/100)*(1+G448/100))/Ajustes!$B$4,0)*Ajustes!$B$4))</x:f>
      </x:c>
      <x:c r="J448" t="n">
        <x:v>59</x:v>
      </x:c>
    </x:row>
    <x:row r="449">
      <x:c r="A449" t="str">
        <x:v>PD.7070</x:v>
      </x:c>
      <x:c r="B449" t="str">
        <x:v>Sanitarios</x:v>
      </x:c>
      <x:c r="C449" s="8" t="str">
        <x:v>Pisos/Receptaculos de Ducha</x:v>
      </x:c>
      <x:c r="D449" s="8" t="str">
        <x:v>Piso de Ducha 70x70x8 cm</x:v>
      </x:c>
      <x:c r="E449" s="8" t="str">
        <x:v>pd-7070.png</x:v>
      </x:c>
      <x:c r="F449" s="30"/>
      <x:c r="G449" s="34" t="n">
        <x:v>0</x:v>
      </x:c>
      <x:c r="H449" s="30"/>
      <x:c r="I449" s="32" t="str">
        <x:f>IF(H449&lt;&gt;"",H449,IF(F449="","",ROUND((F449*(1+Ajustes!$B$3/100)*(1+IFERROR(VLOOKUP(B449,Ajustes!$A$7:$B$24,2,FALSE),0)/100)*(1+G449/100))/Ajustes!$B$4,0)*Ajustes!$B$4))</x:f>
      </x:c>
      <x:c r="J449" t="n">
        <x:v>59</x:v>
      </x:c>
    </x:row>
    <x:row r="450">
      <x:c r="A450" t="str">
        <x:v>PD.7575</x:v>
      </x:c>
      <x:c r="B450" t="str">
        <x:v>Sanitarios</x:v>
      </x:c>
      <x:c r="C450" s="8" t="str">
        <x:v>Pisos/Receptaculos de Ducha</x:v>
      </x:c>
      <x:c r="D450" s="8" t="str">
        <x:v>Piso de Ducha 75x75x8 cm</x:v>
      </x:c>
      <x:c r="E450" s="8" t="str">
        <x:v>pd-7575.png</x:v>
      </x:c>
      <x:c r="F450" s="30"/>
      <x:c r="G450" s="34" t="n">
        <x:v>0</x:v>
      </x:c>
      <x:c r="H450" s="30"/>
      <x:c r="I450" s="32" t="str">
        <x:f>IF(H450&lt;&gt;"",H450,IF(F450="","",ROUND((F450*(1+Ajustes!$B$3/100)*(1+IFERROR(VLOOKUP(B450,Ajustes!$A$7:$B$24,2,FALSE),0)/100)*(1+G450/100))/Ajustes!$B$4,0)*Ajustes!$B$4))</x:f>
      </x:c>
      <x:c r="J450" t="n">
        <x:v>59</x:v>
      </x:c>
    </x:row>
    <x:row r="451">
      <x:c r="A451" t="str">
        <x:v>PD.8080</x:v>
      </x:c>
      <x:c r="B451" t="str">
        <x:v>Sanitarios</x:v>
      </x:c>
      <x:c r="C451" s="8" t="str">
        <x:v>Pisos/Receptaculos de Ducha</x:v>
      </x:c>
      <x:c r="D451" s="8" t="str">
        <x:v>Piso de Ducha 80x80x12 cm</x:v>
      </x:c>
      <x:c r="E451" s="8" t="str">
        <x:v>pd-8080.png</x:v>
      </x:c>
      <x:c r="F451" s="30"/>
      <x:c r="G451" s="34" t="n">
        <x:v>0</x:v>
      </x:c>
      <x:c r="H451" s="30"/>
      <x:c r="I451" s="32" t="str">
        <x:f>IF(H451&lt;&gt;"",H451,IF(F451="","",ROUND((F451*(1+Ajustes!$B$3/100)*(1+IFERROR(VLOOKUP(B451,Ajustes!$A$7:$B$24,2,FALSE),0)/100)*(1+G451/100))/Ajustes!$B$4,0)*Ajustes!$B$4))</x:f>
      </x:c>
      <x:c r="J451" t="n">
        <x:v>59</x:v>
      </x:c>
    </x:row>
    <x:row r="452">
      <x:c r="A452" t="str">
        <x:v>PD.9090</x:v>
      </x:c>
      <x:c r="B452" t="str">
        <x:v>Sanitarios</x:v>
      </x:c>
      <x:c r="C452" s="8" t="str">
        <x:v>Pisos/Receptaculos de Ducha</x:v>
      </x:c>
      <x:c r="D452" s="8" t="str">
        <x:v>Piso de Ducha 90x90x8 cm</x:v>
      </x:c>
      <x:c r="E452" s="8" t="str">
        <x:v>pd-9090.png</x:v>
      </x:c>
      <x:c r="F452" s="30"/>
      <x:c r="G452" s="34" t="n">
        <x:v>0</x:v>
      </x:c>
      <x:c r="H452" s="30"/>
      <x:c r="I452" s="32" t="str">
        <x:f>IF(H452&lt;&gt;"",H452,IF(F452="","",ROUND((F452*(1+Ajustes!$B$3/100)*(1+IFERROR(VLOOKUP(B452,Ajustes!$A$7:$B$24,2,FALSE),0)/100)*(1+G452/100))/Ajustes!$B$4,0)*Ajustes!$B$4))</x:f>
      </x:c>
      <x:c r="J452" t="n">
        <x:v>59</x:v>
      </x:c>
    </x:row>
    <x:row r="453">
      <x:c r="A453" t="str">
        <x:v>PDC.8080</x:v>
      </x:c>
      <x:c r="B453" t="str">
        <x:v>Sanitarios</x:v>
      </x:c>
      <x:c r="C453" s="8" t="str">
        <x:v>Pisos/Receptaculos de Ducha</x:v>
      </x:c>
      <x:c r="D453" s="8" t="str">
        <x:v>Piso de Ducha Curvo 80x80x8 cm</x:v>
      </x:c>
      <x:c r="E453" s="8" t="str">
        <x:v>pdc-8080.png</x:v>
      </x:c>
      <x:c r="F453" s="30"/>
      <x:c r="G453" s="34" t="n">
        <x:v>0</x:v>
      </x:c>
      <x:c r="H453" s="30"/>
      <x:c r="I453" s="32" t="str">
        <x:f>IF(H453&lt;&gt;"",H453,IF(F453="","",ROUND((F453*(1+Ajustes!$B$3/100)*(1+IFERROR(VLOOKUP(B453,Ajustes!$A$7:$B$24,2,FALSE),0)/100)*(1+G453/100))/Ajustes!$B$4,0)*Ajustes!$B$4))</x:f>
      </x:c>
      <x:c r="J453" t="n">
        <x:v>60</x:v>
      </x:c>
    </x:row>
    <x:row r="454">
      <x:c r="A454" t="str">
        <x:v>PDC.9090</x:v>
      </x:c>
      <x:c r="B454" t="str">
        <x:v>Sanitarios</x:v>
      </x:c>
      <x:c r="C454" s="8" t="str">
        <x:v>Pisos/Receptaculos de Ducha</x:v>
      </x:c>
      <x:c r="D454" s="8" t="str">
        <x:v>Piso de Ducha Curvo 90x90x6 cm</x:v>
      </x:c>
      <x:c r="E454" s="8" t="str">
        <x:v>pdc-9090.png</x:v>
      </x:c>
      <x:c r="F454" s="30"/>
      <x:c r="G454" s="34" t="n">
        <x:v>0</x:v>
      </x:c>
      <x:c r="H454" s="30"/>
      <x:c r="I454" s="32" t="str">
        <x:f>IF(H454&lt;&gt;"",H454,IF(F454="","",ROUND((F454*(1+Ajustes!$B$3/100)*(1+IFERROR(VLOOKUP(B454,Ajustes!$A$7:$B$24,2,FALSE),0)/100)*(1+G454/100))/Ajustes!$B$4,0)*Ajustes!$B$4))</x:f>
      </x:c>
      <x:c r="J454" t="n">
        <x:v>60</x:v>
      </x:c>
    </x:row>
    <x:row r="455">
      <x:c r="A455" t="str">
        <x:v>PD.10075</x:v>
      </x:c>
      <x:c r="B455" t="str">
        <x:v>Sanitarios</x:v>
      </x:c>
      <x:c r="C455" s="8" t="str">
        <x:v>Pisos/Receptaculos de Ducha</x:v>
      </x:c>
      <x:c r="D455" s="8" t="str">
        <x:v>Piso de Ducha 100x75 cm</x:v>
      </x:c>
      <x:c r="E455" s="8" t="str">
        <x:v>pd-10075.png</x:v>
      </x:c>
      <x:c r="F455" s="30"/>
      <x:c r="G455" s="34" t="n">
        <x:v>0</x:v>
      </x:c>
      <x:c r="H455" s="30"/>
      <x:c r="I455" s="32" t="str">
        <x:f>IF(H455&lt;&gt;"",H455,IF(F455="","",ROUND((F455*(1+Ajustes!$B$3/100)*(1+IFERROR(VLOOKUP(B455,Ajustes!$A$7:$B$24,2,FALSE),0)/100)*(1+G455/100))/Ajustes!$B$4,0)*Ajustes!$B$4))</x:f>
      </x:c>
      <x:c r="J455" t="n">
        <x:v>60</x:v>
      </x:c>
    </x:row>
    <x:row r="456">
      <x:c r="A456" t="str">
        <x:v>PD.12070</x:v>
      </x:c>
      <x:c r="B456" t="str">
        <x:v>Sanitarios</x:v>
      </x:c>
      <x:c r="C456" s="8" t="str">
        <x:v>Pisos/Receptaculos de Ducha</x:v>
      </x:c>
      <x:c r="D456" s="8" t="str">
        <x:v>Piso de Ducha 120x70x6 cm</x:v>
      </x:c>
      <x:c r="E456" s="8" t="str">
        <x:v>pd-12070.png</x:v>
      </x:c>
      <x:c r="F456" s="30"/>
      <x:c r="G456" s="34" t="n">
        <x:v>0</x:v>
      </x:c>
      <x:c r="H456" s="30"/>
      <x:c r="I456" s="32" t="str">
        <x:f>IF(H456&lt;&gt;"",H456,IF(F456="","",ROUND((F456*(1+Ajustes!$B$3/100)*(1+IFERROR(VLOOKUP(B456,Ajustes!$A$7:$B$24,2,FALSE),0)/100)*(1+G456/100))/Ajustes!$B$4,0)*Ajustes!$B$4))</x:f>
      </x:c>
      <x:c r="J456" t="n">
        <x:v>60</x:v>
      </x:c>
    </x:row>
    <x:row r="457">
      <x:c r="A457" t="str">
        <x:v>PD.12080</x:v>
      </x:c>
      <x:c r="B457" t="str">
        <x:v>Sanitarios</x:v>
      </x:c>
      <x:c r="C457" s="8" t="str">
        <x:v>Pisos/Receptaculos de Ducha</x:v>
      </x:c>
      <x:c r="D457" s="8" t="str">
        <x:v>Piso de Ducha 120x80x6 cm</x:v>
      </x:c>
      <x:c r="E457" s="8" t="str">
        <x:v>pd-12080.png</x:v>
      </x:c>
      <x:c r="F457" s="30"/>
      <x:c r="G457" s="34" t="n">
        <x:v>0</x:v>
      </x:c>
      <x:c r="H457" s="30"/>
      <x:c r="I457" s="32" t="str">
        <x:f>IF(H457&lt;&gt;"",H457,IF(F457="","",ROUND((F457*(1+Ajustes!$B$3/100)*(1+IFERROR(VLOOKUP(B457,Ajustes!$A$7:$B$24,2,FALSE),0)/100)*(1+G457/100))/Ajustes!$B$4,0)*Ajustes!$B$4))</x:f>
      </x:c>
      <x:c r="J457" t="n">
        <x:v>60</x:v>
      </x:c>
    </x:row>
    <x:row r="458">
      <x:c r="A458" t="str">
        <x:v>IE.G.12</x:v>
      </x:c>
      <x:c r="B458" t="str">
        <x:v>Sanitarios</x:v>
      </x:c>
      <x:c r="C458" s="8" t="str">
        <x:v>Inodoros Electricos 12v o 24v - TMC</x:v>
      </x:c>
      <x:c r="D458" s="8" t="str">
        <x:v>Inodoro Electrico 12v TMC - GRANDE</x:v>
      </x:c>
      <x:c r="E458" s="8" t="str">
        <x:v>ie-g-12.png</x:v>
      </x:c>
      <x:c r="F458" s="30"/>
      <x:c r="G458" s="34" t="n">
        <x:v>0</x:v>
      </x:c>
      <x:c r="H458" s="30"/>
      <x:c r="I458" s="32" t="str">
        <x:f>IF(H458&lt;&gt;"",H458,IF(F458="","",ROUND((F458*(1+Ajustes!$B$3/100)*(1+IFERROR(VLOOKUP(B458,Ajustes!$A$7:$B$24,2,FALSE),0)/100)*(1+G458/100))/Ajustes!$B$4,0)*Ajustes!$B$4))</x:f>
      </x:c>
      <x:c r="J458" t="n">
        <x:v>60</x:v>
      </x:c>
    </x:row>
    <x:row r="459">
      <x:c r="A459" t="str">
        <x:v>IE.C.12</x:v>
      </x:c>
      <x:c r="B459" t="str">
        <x:v>Sanitarios</x:v>
      </x:c>
      <x:c r="C459" s="8" t="str">
        <x:v>Inodoros Electricos 12v o 24v - TMC</x:v>
      </x:c>
      <x:c r="D459" s="8" t="str">
        <x:v>Inodoro Electrico 12v TMC - CHICO</x:v>
      </x:c>
      <x:c r="E459" s="8" t="str">
        <x:v>ie-c-12.png</x:v>
      </x:c>
      <x:c r="F459" s="30"/>
      <x:c r="G459" s="34" t="n">
        <x:v>0</x:v>
      </x:c>
      <x:c r="H459" s="30"/>
      <x:c r="I459" s="32" t="str">
        <x:f>IF(H459&lt;&gt;"",H459,IF(F459="","",ROUND((F459*(1+Ajustes!$B$3/100)*(1+IFERROR(VLOOKUP(B459,Ajustes!$A$7:$B$24,2,FALSE),0)/100)*(1+G459/100))/Ajustes!$B$4,0)*Ajustes!$B$4))</x:f>
      </x:c>
      <x:c r="J459" t="n">
        <x:v>60</x:v>
      </x:c>
    </x:row>
    <x:row r="460">
      <x:c r="A460" t="str">
        <x:v>IE.TCA.12</x:v>
      </x:c>
      <x:c r="B460" t="str">
        <x:v>Sanitarios</x:v>
      </x:c>
      <x:c r="C460" s="8" t="str">
        <x:v>Inodoros Electricos 12v o 24v - TMC</x:v>
      </x:c>
      <x:c r="D460" s="8" t="str">
        <x:v>Inodoro Electrico 12v TMC - TIPO CASA ALTO</x:v>
      </x:c>
      <x:c r="E460" s="8" t="str">
        <x:v>ie-tca-12.png</x:v>
      </x:c>
      <x:c r="F460" s="30"/>
      <x:c r="G460" s="34" t="n">
        <x:v>0</x:v>
      </x:c>
      <x:c r="H460" s="30"/>
      <x:c r="I460" s="32" t="str">
        <x:f>IF(H460&lt;&gt;"",H460,IF(F460="","",ROUND((F460*(1+Ajustes!$B$3/100)*(1+IFERROR(VLOOKUP(B460,Ajustes!$A$7:$B$24,2,FALSE),0)/100)*(1+G460/100))/Ajustes!$B$4,0)*Ajustes!$B$4))</x:f>
      </x:c>
      <x:c r="J460" t="n">
        <x:v>61</x:v>
      </x:c>
    </x:row>
    <x:row r="461">
      <x:c r="A461" t="str">
        <x:v>IE.TCB.12</x:v>
      </x:c>
      <x:c r="B461" t="str">
        <x:v>Sanitarios</x:v>
      </x:c>
      <x:c r="C461" s="8" t="str">
        <x:v>Inodoros Electricos 12v o 24v - TMC</x:v>
      </x:c>
      <x:c r="D461" s="8" t="str">
        <x:v>Inodoro Electrico 12v TMC - TIPO CASA BAJO</x:v>
      </x:c>
      <x:c r="E461" s="8" t="str">
        <x:v>ie-tcb-12.png</x:v>
      </x:c>
      <x:c r="F461" s="30"/>
      <x:c r="G461" s="34" t="n">
        <x:v>0</x:v>
      </x:c>
      <x:c r="H461" s="30"/>
      <x:c r="I461" s="32" t="str">
        <x:f>IF(H461&lt;&gt;"",H461,IF(F461="","",ROUND((F461*(1+Ajustes!$B$3/100)*(1+IFERROR(VLOOKUP(B461,Ajustes!$A$7:$B$24,2,FALSE),0)/100)*(1+G461/100))/Ajustes!$B$4,0)*Ajustes!$B$4))</x:f>
      </x:c>
      <x:c r="J461" t="n">
        <x:v>61</x:v>
      </x:c>
    </x:row>
    <x:row r="462">
      <x:c r="A462" t="str">
        <x:v>IE.G.24</x:v>
      </x:c>
      <x:c r="B462" t="str">
        <x:v>Sanitarios</x:v>
      </x:c>
      <x:c r="C462" s="8" t="str">
        <x:v>Inodoros Electricos 12v o 24v - TMC</x:v>
      </x:c>
      <x:c r="D462" s="8" t="str">
        <x:v>Inodoro Electrico 24v TMC - GRANDE</x:v>
      </x:c>
      <x:c r="E462" s="8" t="str">
        <x:v>ie-g-24.png</x:v>
      </x:c>
      <x:c r="F462" s="30"/>
      <x:c r="G462" s="34" t="n">
        <x:v>0</x:v>
      </x:c>
      <x:c r="H462" s="30"/>
      <x:c r="I462" s="32" t="str">
        <x:f>IF(H462&lt;&gt;"",H462,IF(F462="","",ROUND((F462*(1+Ajustes!$B$3/100)*(1+IFERROR(VLOOKUP(B462,Ajustes!$A$7:$B$24,2,FALSE),0)/100)*(1+G462/100))/Ajustes!$B$4,0)*Ajustes!$B$4))</x:f>
      </x:c>
      <x:c r="J462" t="n">
        <x:v>61</x:v>
      </x:c>
    </x:row>
    <x:row r="463">
      <x:c r="A463" t="str">
        <x:v>IE.CS.12</x:v>
      </x:c>
      <x:c r="B463" t="str">
        <x:v>Sanitarios</x:v>
      </x:c>
      <x:c r="C463" s="8" t="str">
        <x:v>Inodoros Electricos 12v o 24v - SEAFLO</x:v>
      </x:c>
      <x:c r="D463" s="8" t="str">
        <x:v>Inodoro Electrico 12v SEAFLO - Redondo</x:v>
      </x:c>
      <x:c r="E463" s="8" t="str">
        <x:v>ie-cs-12.png</x:v>
      </x:c>
      <x:c r="F463" s="30"/>
      <x:c r="G463" s="34" t="n">
        <x:v>0</x:v>
      </x:c>
      <x:c r="H463" s="30"/>
      <x:c r="I463" s="32" t="str">
        <x:f>IF(H463&lt;&gt;"",H463,IF(F463="","",ROUND((F463*(1+Ajustes!$B$3/100)*(1+IFERROR(VLOOKUP(B463,Ajustes!$A$7:$B$24,2,FALSE),0)/100)*(1+G463/100))/Ajustes!$B$4,0)*Ajustes!$B$4))</x:f>
      </x:c>
      <x:c r="J463" t="n">
        <x:v>61</x:v>
      </x:c>
    </x:row>
    <x:row r="464">
      <x:c r="A464" t="str">
        <x:v>IE.GS.12</x:v>
      </x:c>
      <x:c r="B464" t="str">
        <x:v>Sanitarios</x:v>
      </x:c>
      <x:c r="C464" s="8" t="str">
        <x:v>Inodoros Electricos 12v o 24v - SEAFLO</x:v>
      </x:c>
      <x:c r="D464" s="8" t="str">
        <x:v>Inodoro Electrico 12v SEAFLO - Ovalado</x:v>
      </x:c>
      <x:c r="E464" s="8" t="str">
        <x:v>ie-gs-12.png</x:v>
      </x:c>
      <x:c r="F464" s="30"/>
      <x:c r="G464" s="34" t="n">
        <x:v>0</x:v>
      </x:c>
      <x:c r="H464" s="30"/>
      <x:c r="I464" s="32" t="str">
        <x:f>IF(H464&lt;&gt;"",H464,IF(F464="","",ROUND((F464*(1+Ajustes!$B$3/100)*(1+IFERROR(VLOOKUP(B464,Ajustes!$A$7:$B$24,2,FALSE),0)/100)*(1+G464/100))/Ajustes!$B$4,0)*Ajustes!$B$4))</x:f>
      </x:c>
      <x:c r="J464" t="n">
        <x:v>61</x:v>
      </x:c>
    </x:row>
    <x:row r="465">
      <x:c r="A465" t="str">
        <x:v>IE.TCS.12</x:v>
      </x:c>
      <x:c r="B465" t="str">
        <x:v>Sanitarios</x:v>
      </x:c>
      <x:c r="C465" s="8" t="str">
        <x:v>Inodoros Electricos 12v o 24v - SEAFLO</x:v>
      </x:c>
      <x:c r="D465" s="8" t="str">
        <x:v>Inodoro Electrico 12v SEAFLO - Ovalado Silencioso TIPO CASA</x:v>
      </x:c>
      <x:c r="E465" s="8" t="str">
        <x:v>ie-tcs-12.png</x:v>
      </x:c>
      <x:c r="F465" s="30"/>
      <x:c r="G465" s="34" t="n">
        <x:v>0</x:v>
      </x:c>
      <x:c r="H465" s="30"/>
      <x:c r="I465" s="32" t="str">
        <x:f>IF(H465&lt;&gt;"",H465,IF(F465="","",ROUND((F465*(1+Ajustes!$B$3/100)*(1+IFERROR(VLOOKUP(B465,Ajustes!$A$7:$B$24,2,FALSE),0)/100)*(1+G465/100))/Ajustes!$B$4,0)*Ajustes!$B$4))</x:f>
      </x:c>
      <x:c r="J465" t="n">
        <x:v>61</x:v>
      </x:c>
    </x:row>
    <x:row r="466">
      <x:c r="A466" t="str">
        <x:v>IP.TH.BR</x:v>
      </x:c>
      <x:c r="B466" t="str">
        <x:v>Sanitarios</x:v>
      </x:c>
      <x:c r="C466" s="8" t="str">
        <x:v>Inodoros a Pedal</x:v>
      </x:c>
      <x:c r="D466" s="8" t="str">
        <x:v>Inodoro C/Pedal THETFORD BRAVURA</x:v>
      </x:c>
      <x:c r="E466" s="8" t="str">
        <x:v>ip-th-br.png</x:v>
      </x:c>
      <x:c r="F466" s="30"/>
      <x:c r="G466" s="34" t="n">
        <x:v>0</x:v>
      </x:c>
      <x:c r="H466" s="30"/>
      <x:c r="I466" s="32" t="str">
        <x:f>IF(H466&lt;&gt;"",H466,IF(F466="","",ROUND((F466*(1+Ajustes!$B$3/100)*(1+IFERROR(VLOOKUP(B466,Ajustes!$A$7:$B$24,2,FALSE),0)/100)*(1+G466/100))/Ajustes!$B$4,0)*Ajustes!$B$4))</x:f>
      </x:c>
      <x:c r="J466" t="n">
        <x:v>61</x:v>
      </x:c>
    </x:row>
    <x:row r="467">
      <x:c r="A467" t="str">
        <x:v>IP.TH.A</x:v>
      </x:c>
      <x:c r="B467" t="str">
        <x:v>Sanitarios</x:v>
      </x:c>
      <x:c r="C467" s="8" t="str">
        <x:v>Inodoros a Pedal</x:v>
      </x:c>
      <x:c r="D467" s="8" t="str">
        <x:v>Inodoro C/Pedal THETFORD AQUA MAGIC VI ALTO</x:v>
      </x:c>
      <x:c r="E467" s="8" t="str">
        <x:v>ip-th-a.png</x:v>
      </x:c>
      <x:c r="F467" s="30"/>
      <x:c r="G467" s="34" t="n">
        <x:v>0</x:v>
      </x:c>
      <x:c r="H467" s="30"/>
      <x:c r="I467" s="32" t="str">
        <x:f>IF(H467&lt;&gt;"",H467,IF(F467="","",ROUND((F467*(1+Ajustes!$B$3/100)*(1+IFERROR(VLOOKUP(B467,Ajustes!$A$7:$B$24,2,FALSE),0)/100)*(1+G467/100))/Ajustes!$B$4,0)*Ajustes!$B$4))</x:f>
      </x:c>
      <x:c r="J467" t="n">
        <x:v>61</x:v>
      </x:c>
    </x:row>
    <x:row r="468">
      <x:c r="A468" t="str">
        <x:v>IP.TH.B</x:v>
      </x:c>
      <x:c r="B468" t="str">
        <x:v>Sanitarios</x:v>
      </x:c>
      <x:c r="C468" s="8" t="str">
        <x:v>Inodoros a Pedal</x:v>
      </x:c>
      <x:c r="D468" s="8" t="str">
        <x:v>Inodoro C/Pedal THETFORD AQUA MAGIC VI BAJO - Beige</x:v>
      </x:c>
      <x:c r="E468" s="8" t="str">
        <x:v>ip-th-b.png</x:v>
      </x:c>
      <x:c r="F468" s="30"/>
      <x:c r="G468" s="34" t="n">
        <x:v>0</x:v>
      </x:c>
      <x:c r="H468" s="30"/>
      <x:c r="I468" s="32" t="str">
        <x:f>IF(H468&lt;&gt;"",H468,IF(F468="","",ROUND((F468*(1+Ajustes!$B$3/100)*(1+IFERROR(VLOOKUP(B468,Ajustes!$A$7:$B$24,2,FALSE),0)/100)*(1+G468/100))/Ajustes!$B$4,0)*Ajustes!$B$4))</x:f>
      </x:c>
      <x:c r="J468" t="n">
        <x:v>62</x:v>
      </x:c>
    </x:row>
    <x:row r="469">
      <x:c r="A469" t="str">
        <x:v>IP.P</x:v>
      </x:c>
      <x:c r="B469" t="str">
        <x:v>Sanitarios</x:v>
      </x:c>
      <x:c r="C469" s="8" t="str">
        <x:v>Inodoros a Pedal</x:v>
      </x:c>
      <x:c r="D469" s="8" t="str">
        <x:v>Inodoro C/Pedal Practitoilet</x:v>
      </x:c>
      <x:c r="E469" s="8" t="str">
        <x:v>ip-p.png</x:v>
      </x:c>
      <x:c r="F469" s="30"/>
      <x:c r="G469" s="34" t="n">
        <x:v>0</x:v>
      </x:c>
      <x:c r="H469" s="30"/>
      <x:c r="I469" s="32" t="str">
        <x:f>IF(H469&lt;&gt;"",H469,IF(F469="","",ROUND((F469*(1+Ajustes!$B$3/100)*(1+IFERROR(VLOOKUP(B469,Ajustes!$A$7:$B$24,2,FALSE),0)/100)*(1+G469/100))/Ajustes!$B$4,0)*Ajustes!$B$4))</x:f>
      </x:c>
      <x:c r="J469" t="n">
        <x:v>62</x:v>
      </x:c>
    </x:row>
    <x:row r="470">
      <x:c r="A470" t="str">
        <x:v>IP.BP</x:v>
      </x:c>
      <x:c r="B470" t="str">
        <x:v>Sanitarios</x:v>
      </x:c>
      <x:c r="C470" s="8" t="str">
        <x:v>Inodoros a Pedal</x:v>
      </x:c>
      <x:c r="D470" s="8" t="str">
        <x:v>Brida Plastica P/Inodoro a Pedal Practitoilet</x:v>
      </x:c>
      <x:c r="E470" s="8" t="str">
        <x:v>ip-bp.png</x:v>
      </x:c>
      <x:c r="F470" s="30"/>
      <x:c r="G470" s="34" t="n">
        <x:v>0</x:v>
      </x:c>
      <x:c r="H470" s="30"/>
      <x:c r="I470" s="32" t="str">
        <x:f>IF(H470&lt;&gt;"",H470,IF(F470="","",ROUND((F470*(1+Ajustes!$B$3/100)*(1+IFERROR(VLOOKUP(B470,Ajustes!$A$7:$B$24,2,FALSE),0)/100)*(1+G470/100))/Ajustes!$B$4,0)*Ajustes!$B$4))</x:f>
      </x:c>
      <x:c r="J470" t="n">
        <x:v>62</x:v>
      </x:c>
    </x:row>
    <x:row r="471">
      <x:c r="A471" t="str">
        <x:v>IP.S.D</x:v>
      </x:c>
      <x:c r="B471" t="str">
        <x:v>Sanitarios</x:v>
      </x:c>
      <x:c r="C471" s="8" t="str">
        <x:v>Inodoros a Pedal</x:v>
      </x:c>
      <x:c r="D471" s="8" t="str">
        <x:v>Inodoro C/Pedal SEAFLO + Bidet Duchador</x:v>
      </x:c>
      <x:c r="E471" s="8" t="str">
        <x:v>ip-s-d.png</x:v>
      </x:c>
      <x:c r="F471" s="30"/>
      <x:c r="G471" s="34" t="n">
        <x:v>0</x:v>
      </x:c>
      <x:c r="H471" s="30"/>
      <x:c r="I471" s="32" t="str">
        <x:f>IF(H471&lt;&gt;"",H471,IF(F471="","",ROUND((F471*(1+Ajustes!$B$3/100)*(1+IFERROR(VLOOKUP(B471,Ajustes!$A$7:$B$24,2,FALSE),0)/100)*(1+G471/100))/Ajustes!$B$4,0)*Ajustes!$B$4))</x:f>
      </x:c>
      <x:c r="J471" t="n">
        <x:v>62</x:v>
      </x:c>
    </x:row>
    <x:row r="472">
      <x:c r="A472" t="str">
        <x:v>IP.S</x:v>
      </x:c>
      <x:c r="B472" t="str">
        <x:v>Sanitarios</x:v>
      </x:c>
      <x:c r="C472" s="8" t="str">
        <x:v>Inodoros a Pedal</x:v>
      </x:c>
      <x:c r="D472" s="8" t="str">
        <x:v>Inodoro C/Pedal SEAFLO</x:v>
      </x:c>
      <x:c r="E472" s="8" t="str">
        <x:v>ip-s.png</x:v>
      </x:c>
      <x:c r="F472" s="30"/>
      <x:c r="G472" s="34" t="n">
        <x:v>0</x:v>
      </x:c>
      <x:c r="H472" s="30"/>
      <x:c r="I472" s="32" t="str">
        <x:f>IF(H472&lt;&gt;"",H472,IF(F472="","",ROUND((F472*(1+Ajustes!$B$3/100)*(1+IFERROR(VLOOKUP(B472,Ajustes!$A$7:$B$24,2,FALSE),0)/100)*(1+G472/100))/Ajustes!$B$4,0)*Ajustes!$B$4))</x:f>
      </x:c>
      <x:c r="J472" t="n">
        <x:v>62</x:v>
      </x:c>
    </x:row>
    <x:row r="473">
      <x:c r="A473" t="str">
        <x:v>IP.BS</x:v>
      </x:c>
      <x:c r="B473" t="str">
        <x:v>Sanitarios</x:v>
      </x:c>
      <x:c r="C473" s="8" t="str">
        <x:v>Inodoros a Pedal</x:v>
      </x:c>
      <x:c r="D473" s="8" t="str">
        <x:v>Brida Plastica P/Inodoro a Pedal SEAFLO</x:v>
      </x:c>
      <x:c r="E473" s="8" t="str">
        <x:v>ip-bs.png</x:v>
      </x:c>
      <x:c r="F473" s="30"/>
      <x:c r="G473" s="34" t="n">
        <x:v>0</x:v>
      </x:c>
      <x:c r="H473" s="30"/>
      <x:c r="I473" s="32" t="str">
        <x:f>IF(H473&lt;&gt;"",H473,IF(F473="","",ROUND((F473*(1+Ajustes!$B$3/100)*(1+IFERROR(VLOOKUP(B473,Ajustes!$A$7:$B$24,2,FALSE),0)/100)*(1+G473/100))/Ajustes!$B$4,0)*Ajustes!$B$4))</x:f>
      </x:c>
      <x:c r="J473" t="n">
        <x:v>62</x:v>
      </x:c>
    </x:row>
    <x:row r="474">
      <x:c r="A474" t="str">
        <x:v>IQC.22.G</x:v>
      </x:c>
      <x:c r="B474" t="str">
        <x:v>Sanitarios</x:v>
      </x:c>
      <x:c r="C474" s="8" t="str">
        <x:v>Inodoros a Quimicos a Cassette</x:v>
      </x:c>
      <x:c r="D474" s="8" t="str">
        <x:v>Inodoro Quimico Cassette 22L Giratorio C/Piston</x:v>
      </x:c>
      <x:c r="E474" s="8" t="str">
        <x:v>iqc-22-g.png</x:v>
      </x:c>
      <x:c r="F474" s="30"/>
      <x:c r="G474" s="34" t="n">
        <x:v>0</x:v>
      </x:c>
      <x:c r="H474" s="30"/>
      <x:c r="I474" s="32" t="str">
        <x:f>IF(H474&lt;&gt;"",H474,IF(F474="","",ROUND((F474*(1+Ajustes!$B$3/100)*(1+IFERROR(VLOOKUP(B474,Ajustes!$A$7:$B$24,2,FALSE),0)/100)*(1+G474/100))/Ajustes!$B$4,0)*Ajustes!$B$4))</x:f>
      </x:c>
      <x:c r="J474" t="n">
        <x:v>62</x:v>
      </x:c>
    </x:row>
    <x:row r="475">
      <x:c r="A475" t="str">
        <x:v>IQC.24</x:v>
      </x:c>
      <x:c r="B475" t="str">
        <x:v>Sanitarios</x:v>
      </x:c>
      <x:c r="C475" s="8" t="str">
        <x:v>Inodoros a Quimicos a Cassette</x:v>
      </x:c>
      <x:c r="D475" s="8" t="str">
        <x:v>Inodoro Quimico Cassette 24L C/Piston</x:v>
      </x:c>
      <x:c r="E475" s="8" t="str">
        <x:v>iqc-24.png</x:v>
      </x:c>
      <x:c r="F475" s="30"/>
      <x:c r="G475" s="34" t="n">
        <x:v>0</x:v>
      </x:c>
      <x:c r="H475" s="30"/>
      <x:c r="I475" s="32" t="str">
        <x:f>IF(H475&lt;&gt;"",H475,IF(F475="","",ROUND((F475*(1+Ajustes!$B$3/100)*(1+IFERROR(VLOOKUP(B475,Ajustes!$A$7:$B$24,2,FALSE),0)/100)*(1+G475/100))/Ajustes!$B$4,0)*Ajustes!$B$4))</x:f>
      </x:c>
      <x:c r="J475" t="n">
        <x:v>62</x:v>
      </x:c>
    </x:row>
    <x:row r="476">
      <x:c r="A476" t="str">
        <x:v>IQ.20.P</x:v>
      </x:c>
      <x:c r="B476" t="str">
        <x:v>Sanitarios</x:v>
      </x:c>
      <x:c r="C476" s="8" t="str">
        <x:v>Inodoros Quimicos</x:v>
      </x:c>
      <x:c r="D476" s="8" t="str">
        <x:v>Inodoro Quimico Practipotty 20L C/Piston</x:v>
      </x:c>
      <x:c r="E476" s="8" t="str">
        <x:v>iq-20-p.png</x:v>
      </x:c>
      <x:c r="F476" s="30"/>
      <x:c r="G476" s="34" t="n">
        <x:v>0</x:v>
      </x:c>
      <x:c r="H476" s="30"/>
      <x:c r="I476" s="32" t="str">
        <x:f>IF(H476&lt;&gt;"",H476,IF(F476="","",ROUND((F476*(1+Ajustes!$B$3/100)*(1+IFERROR(VLOOKUP(B476,Ajustes!$A$7:$B$24,2,FALSE),0)/100)*(1+G476/100))/Ajustes!$B$4,0)*Ajustes!$B$4))</x:f>
      </x:c>
      <x:c r="J476" t="n">
        <x:v>63</x:v>
      </x:c>
    </x:row>
    <x:row r="477">
      <x:c r="A477" t="str">
        <x:v>IQ.20.FD</x:v>
      </x:c>
      <x:c r="B477" t="str">
        <x:v>Sanitarios</x:v>
      </x:c>
      <x:c r="C477" s="8" t="str">
        <x:v>Inodoros Quimicos</x:v>
      </x:c>
      <x:c r="D477" s="8" t="str">
        <x:v>Inodoro Quimico Practipotty 20L Diagonal C/Fuelle</x:v>
      </x:c>
      <x:c r="E477" s="8" t="str">
        <x:v>iq-20-fd.png</x:v>
      </x:c>
      <x:c r="F477" s="30"/>
      <x:c r="G477" s="34" t="n">
        <x:v>0</x:v>
      </x:c>
      <x:c r="H477" s="30"/>
      <x:c r="I477" s="32" t="str">
        <x:f>IF(H477&lt;&gt;"",H477,IF(F477="","",ROUND((F477*(1+Ajustes!$B$3/100)*(1+IFERROR(VLOOKUP(B477,Ajustes!$A$7:$B$24,2,FALSE),0)/100)*(1+G477/100))/Ajustes!$B$4,0)*Ajustes!$B$4))</x:f>
      </x:c>
      <x:c r="J477" t="n">
        <x:v>63</x:v>
      </x:c>
    </x:row>
    <x:row r="478">
      <x:c r="A478" t="str">
        <x:v>IQ.20.F</x:v>
      </x:c>
      <x:c r="B478" t="str">
        <x:v>Sanitarios</x:v>
      </x:c>
      <x:c r="C478" s="8" t="str">
        <x:v>Inodoros Quimicos</x:v>
      </x:c>
      <x:c r="D478" s="8" t="str">
        <x:v>Inodoro Quimico Practipotty 20L C/Fuelle</x:v>
      </x:c>
      <x:c r="E478" s="8" t="str">
        <x:v>iq-20-f.png</x:v>
      </x:c>
      <x:c r="F478" s="30"/>
      <x:c r="G478" s="34" t="n">
        <x:v>0</x:v>
      </x:c>
      <x:c r="H478" s="30"/>
      <x:c r="I478" s="32" t="str">
        <x:f>IF(H478&lt;&gt;"",H478,IF(F478="","",ROUND((F478*(1+Ajustes!$B$3/100)*(1+IFERROR(VLOOKUP(B478,Ajustes!$A$7:$B$24,2,FALSE),0)/100)*(1+G478/100))/Ajustes!$B$4,0)*Ajustes!$B$4))</x:f>
      </x:c>
      <x:c r="J478" t="n">
        <x:v>63</x:v>
      </x:c>
    </x:row>
    <x:row r="479">
      <x:c r="A479" t="str">
        <x:v>IQ.10.F</x:v>
      </x:c>
      <x:c r="B479" t="str">
        <x:v>Sanitarios</x:v>
      </x:c>
      <x:c r="C479" s="8" t="str">
        <x:v>Inodoros Quimicos</x:v>
      </x:c>
      <x:c r="D479" s="8" t="str">
        <x:v>Inodoro Quimico Practipotty 10L C/Fuelle</x:v>
      </x:c>
      <x:c r="E479" s="8" t="str">
        <x:v>iq-10-f.png</x:v>
      </x:c>
      <x:c r="F479" s="30"/>
      <x:c r="G479" s="34" t="n">
        <x:v>0</x:v>
      </x:c>
      <x:c r="H479" s="30"/>
      <x:c r="I479" s="32" t="str">
        <x:f>IF(H479&lt;&gt;"",H479,IF(F479="","",ROUND((F479*(1+Ajustes!$B$3/100)*(1+IFERROR(VLOOKUP(B479,Ajustes!$A$7:$B$24,2,FALSE),0)/100)*(1+G479/100))/Ajustes!$B$4,0)*Ajustes!$B$4))</x:f>
      </x:c>
      <x:c r="J479" t="n">
        <x:v>63</x:v>
      </x:c>
    </x:row>
    <x:row r="480">
      <x:c r="A480" t="str">
        <x:v>IQ.22.S</x:v>
      </x:c>
      <x:c r="B480" t="str">
        <x:v>Sanitarios</x:v>
      </x:c>
      <x:c r="C480" s="8" t="str">
        <x:v>Inodoros Quimicos SEAFLO</x:v>
      </x:c>
      <x:c r="D480" s="8" t="str">
        <x:v>Inodoro Quimico SEAFLO 22L C/Piston, Pico Vertedor, Medidor y Porta Papel Higienico</x:v>
      </x:c>
      <x:c r="E480" s="8" t="str">
        <x:v>iq-22-s.png</x:v>
      </x:c>
      <x:c r="F480" s="30"/>
      <x:c r="G480" s="34" t="n">
        <x:v>0</x:v>
      </x:c>
      <x:c r="H480" s="30"/>
      <x:c r="I480" s="32" t="str">
        <x:f>IF(H480&lt;&gt;"",H480,IF(F480="","",ROUND((F480*(1+Ajustes!$B$3/100)*(1+IFERROR(VLOOKUP(B480,Ajustes!$A$7:$B$24,2,FALSE),0)/100)*(1+G480/100))/Ajustes!$B$4,0)*Ajustes!$B$4))</x:f>
      </x:c>
      <x:c r="J480" t="n">
        <x:v>63</x:v>
      </x:c>
    </x:row>
    <x:row r="481">
      <x:c r="A481" t="str">
        <x:v>IQ.20.S</x:v>
      </x:c>
      <x:c r="B481" t="str">
        <x:v>Sanitarios</x:v>
      </x:c>
      <x:c r="C481" s="8" t="str">
        <x:v>Inodoros Quimicos SEAFLO</x:v>
      </x:c>
      <x:c r="D481" s="8" t="str">
        <x:v>Inodoro Quimico SEAFLO 20L C/Piston</x:v>
      </x:c>
      <x:c r="E481" s="8" t="str">
        <x:v>iq-20-s.png</x:v>
      </x:c>
      <x:c r="F481" s="30"/>
      <x:c r="G481" s="34" t="n">
        <x:v>0</x:v>
      </x:c>
      <x:c r="H481" s="30"/>
      <x:c r="I481" s="32" t="str">
        <x:f>IF(H481&lt;&gt;"",H481,IF(F481="","",ROUND((F481*(1+Ajustes!$B$3/100)*(1+IFERROR(VLOOKUP(B481,Ajustes!$A$7:$B$24,2,FALSE),0)/100)*(1+G481/100))/Ajustes!$B$4,0)*Ajustes!$B$4))</x:f>
      </x:c>
      <x:c r="J481" t="n">
        <x:v>63</x:v>
      </x:c>
    </x:row>
    <x:row r="482">
      <x:c r="A482" t="str">
        <x:v>IQ.18.S</x:v>
      </x:c>
      <x:c r="B482" t="str">
        <x:v>Sanitarios</x:v>
      </x:c>
      <x:c r="C482" s="8" t="str">
        <x:v>Inodoros Quimicos SEAFLO</x:v>
      </x:c>
      <x:c r="D482" s="8" t="str">
        <x:v>Inodoro Quimico FIVE OCEANS 18L C/Piston, Pico Vertedor y Medidor</x:v>
      </x:c>
      <x:c r="E482" s="8" t="str">
        <x:v>iq-18-s.png</x:v>
      </x:c>
      <x:c r="F482" s="30"/>
      <x:c r="G482" s="34" t="n">
        <x:v>0</x:v>
      </x:c>
      <x:c r="H482" s="30"/>
      <x:c r="I482" s="32" t="str">
        <x:f>IF(H482&lt;&gt;"",H482,IF(F482="","",ROUND((F482*(1+Ajustes!$B$3/100)*(1+IFERROR(VLOOKUP(B482,Ajustes!$A$7:$B$24,2,FALSE),0)/100)*(1+G482/100))/Ajustes!$B$4,0)*Ajustes!$B$4))</x:f>
      </x:c>
      <x:c r="J482" t="n">
        <x:v>63</x:v>
      </x:c>
    </x:row>
    <x:row r="483">
      <x:c r="A483" t="str">
        <x:v>D.1.F</x:v>
      </x:c>
      <x:c r="B483" t="str">
        <x:v>Sanitarios</x:v>
      </x:c>
      <x:c r="C483" s="8" t="str">
        <x:v>Disgregantes para Aguas Negras</x:v>
      </x:c>
      <x:c r="D483" s="8" t="str">
        <x:v>Disgregante Liquido FABA 1L - P/Aguas Negras</x:v>
      </x:c>
      <x:c r="E483" s="8" t="str">
        <x:v>d-1-f.png</x:v>
      </x:c>
      <x:c r="F483" s="30"/>
      <x:c r="G483" s="34" t="n">
        <x:v>0</x:v>
      </x:c>
      <x:c r="H483" s="30"/>
      <x:c r="I483" s="32" t="str">
        <x:f>IF(H483&lt;&gt;"",H483,IF(F483="","",ROUND((F483*(1+Ajustes!$B$3/100)*(1+IFERROR(VLOOKUP(B483,Ajustes!$A$7:$B$24,2,FALSE),0)/100)*(1+G483/100))/Ajustes!$B$4,0)*Ajustes!$B$4))</x:f>
      </x:c>
      <x:c r="J483" t="n">
        <x:v>64</x:v>
      </x:c>
    </x:row>
    <x:row r="484">
      <x:c r="A484" t="str">
        <x:v>D.1.T</x:v>
      </x:c>
      <x:c r="B484" t="str">
        <x:v>Sanitarios</x:v>
      </x:c>
      <x:c r="C484" s="8" t="str">
        <x:v>Disgregantes para Aguas Negras</x:v>
      </x:c>
      <x:c r="D484" s="8" t="str">
        <x:v>Disgregante Liquido TEC 1L - P/Aguas Negras</x:v>
      </x:c>
      <x:c r="E484" s="8" t="str">
        <x:v>d-1-t.png</x:v>
      </x:c>
      <x:c r="F484" s="30"/>
      <x:c r="G484" s="34" t="n">
        <x:v>0</x:v>
      </x:c>
      <x:c r="H484" s="30"/>
      <x:c r="I484" s="32" t="str">
        <x:f>IF(H484&lt;&gt;"",H484,IF(F484="","",ROUND((F484*(1+Ajustes!$B$3/100)*(1+IFERROR(VLOOKUP(B484,Ajustes!$A$7:$B$24,2,FALSE),0)/100)*(1+G484/100))/Ajustes!$B$4,0)*Ajustes!$B$4))</x:f>
      </x:c>
      <x:c r="J484" t="n">
        <x:v>64</x:v>
      </x:c>
    </x:row>
    <x:row r="485">
      <x:c r="A485" t="str">
        <x:v>B.U</x:v>
      </x:c>
      <x:c r="B485" t="str">
        <x:v>Sanitarios</x:v>
      </x:c>
      <x:c r="C485" s="8" t="str">
        <x:v>Bidets</x:v>
      </x:c>
      <x:c r="D485" s="8" t="str">
        <x:v>Bidet Universal Adaptable - Frio-Calor</x:v>
      </x:c>
      <x:c r="E485" s="8" t="str">
        <x:v>b-u.png</x:v>
      </x:c>
      <x:c r="F485" s="30"/>
      <x:c r="G485" s="34" t="n">
        <x:v>0</x:v>
      </x:c>
      <x:c r="H485" s="30"/>
      <x:c r="I485" s="32" t="str">
        <x:f>IF(H485&lt;&gt;"",H485,IF(F485="","",ROUND((F485*(1+Ajustes!$B$3/100)*(1+IFERROR(VLOOKUP(B485,Ajustes!$A$7:$B$24,2,FALSE),0)/100)*(1+G485/100))/Ajustes!$B$4,0)*Ajustes!$B$4))</x:f>
      </x:c>
      <x:c r="J485" t="n">
        <x:v>64</x:v>
      </x:c>
    </x:row>
    <x:row r="486">
      <x:c r="A486" t="str">
        <x:v>DE.FCM.N</x:v>
      </x:c>
      <x:c r="B486" t="str">
        <x:v>Sanitarios</x:v>
      </x:c>
      <x:c r="C486" s="8" t="str">
        <x:v>Duchadores para Exterior</x:v>
      </x:c>
      <x:c r="D486" s="8" t="str">
        <x:v>Duchador Exterior Frio-Calor NUOVA - Monocomando</x:v>
      </x:c>
      <x:c r="E486" s="8" t="str">
        <x:v>de-fcm-n.png</x:v>
      </x:c>
      <x:c r="F486" s="30"/>
      <x:c r="G486" s="34" t="n">
        <x:v>0</x:v>
      </x:c>
      <x:c r="H486" s="30"/>
      <x:c r="I486" s="32" t="str">
        <x:f>IF(H486&lt;&gt;"",H486,IF(F486="","",ROUND((F486*(1+Ajustes!$B$3/100)*(1+IFERROR(VLOOKUP(B486,Ajustes!$A$7:$B$24,2,FALSE),0)/100)*(1+G486/100))/Ajustes!$B$4,0)*Ajustes!$B$4))</x:f>
      </x:c>
      <x:c r="J486" t="n">
        <x:v>64</x:v>
      </x:c>
    </x:row>
    <x:row r="487">
      <x:c r="A487" t="str">
        <x:v>DE.FC.S</x:v>
      </x:c>
      <x:c r="B487" t="str">
        <x:v>Sanitarios</x:v>
      </x:c>
      <x:c r="C487" s="8" t="str">
        <x:v>Duchadores para Exterior</x:v>
      </x:c>
      <x:c r="D487" s="8" t="str">
        <x:v>Duchador Exterior Frio-Calor SEAFLO - C/Mezcladora</x:v>
      </x:c>
      <x:c r="E487" s="8" t="str">
        <x:v>de-fc-s.png</x:v>
      </x:c>
      <x:c r="F487" s="30"/>
      <x:c r="G487" s="34" t="n">
        <x:v>0</x:v>
      </x:c>
      <x:c r="H487" s="30"/>
      <x:c r="I487" s="32" t="str">
        <x:f>IF(H487&lt;&gt;"",H487,IF(F487="","",ROUND((F487*(1+Ajustes!$B$3/100)*(1+IFERROR(VLOOKUP(B487,Ajustes!$A$7:$B$24,2,FALSE),0)/100)*(1+G487/100))/Ajustes!$B$4,0)*Ajustes!$B$4))</x:f>
      </x:c>
      <x:c r="J487" t="n">
        <x:v>64</x:v>
      </x:c>
    </x:row>
    <x:row r="488">
      <x:c r="A488" t="str">
        <x:v>DE.FC.D</x:v>
      </x:c>
      <x:c r="B488" t="str">
        <x:v>Sanitarios</x:v>
      </x:c>
      <x:c r="C488" s="8" t="str">
        <x:v>Duchadores para Exterior</x:v>
      </x:c>
      <x:c r="D488" s="8" t="str">
        <x:v>Duchador Exterior Frio-Calor DURA - C/Mezcladora</x:v>
      </x:c>
      <x:c r="E488" s="8" t="str">
        <x:v>de-fc-d.png</x:v>
      </x:c>
      <x:c r="F488" s="30"/>
      <x:c r="G488" s="34" t="n">
        <x:v>0</x:v>
      </x:c>
      <x:c r="H488" s="30"/>
      <x:c r="I488" s="32" t="str">
        <x:f>IF(H488&lt;&gt;"",H488,IF(F488="","",ROUND((F488*(1+Ajustes!$B$3/100)*(1+IFERROR(VLOOKUP(B488,Ajustes!$A$7:$B$24,2,FALSE),0)/100)*(1+G488/100))/Ajustes!$B$4,0)*Ajustes!$B$4))</x:f>
      </x:c>
      <x:c r="J488" t="n">
        <x:v>64</x:v>
      </x:c>
    </x:row>
    <x:row r="489">
      <x:c r="A489" t="str">
        <x:v>DE.F.N</x:v>
      </x:c>
      <x:c r="B489" t="str">
        <x:v>Sanitarios</x:v>
      </x:c>
      <x:c r="C489" s="8" t="str">
        <x:v>Duchadores para Exterior</x:v>
      </x:c>
      <x:c r="D489" s="8" t="str">
        <x:v>Duchador Exterior Frio NUOVA - C/Corte</x:v>
      </x:c>
      <x:c r="E489" s="8" t="str">
        <x:v>de-f-n.png</x:v>
      </x:c>
      <x:c r="F489" s="30"/>
      <x:c r="G489" s="34" t="n">
        <x:v>0</x:v>
      </x:c>
      <x:c r="H489" s="30"/>
      <x:c r="I489" s="32" t="str">
        <x:f>IF(H489&lt;&gt;"",H489,IF(F489="","",ROUND((F489*(1+Ajustes!$B$3/100)*(1+IFERROR(VLOOKUP(B489,Ajustes!$A$7:$B$24,2,FALSE),0)/100)*(1+G489/100))/Ajustes!$B$4,0)*Ajustes!$B$4))</x:f>
      </x:c>
      <x:c r="J489" t="n">
        <x:v>64</x:v>
      </x:c>
    </x:row>
    <x:row r="490">
      <x:c r="A490" t="str">
        <x:v>DE.S.20</x:v>
      </x:c>
      <x:c r="B490" t="str">
        <x:v>Sanitarios</x:v>
      </x:c>
      <x:c r="C490" s="8" t="str">
        <x:v>Duchadores para Exterior</x:v>
      </x:c>
      <x:c r="D490" s="8" t="str">
        <x:v>Duchador Exterior SOLAR 20L P/Colgar</x:v>
      </x:c>
      <x:c r="E490" s="8" t="str">
        <x:v>de-s-20.png</x:v>
      </x:c>
      <x:c r="F490" s="30"/>
      <x:c r="G490" s="34" t="n">
        <x:v>0</x:v>
      </x:c>
      <x:c r="H490" s="30"/>
      <x:c r="I490" s="32" t="str">
        <x:f>IF(H490&lt;&gt;"",H490,IF(F490="","",ROUND((F490*(1+Ajustes!$B$3/100)*(1+IFERROR(VLOOKUP(B490,Ajustes!$A$7:$B$24,2,FALSE),0)/100)*(1+G490/100))/Ajustes!$B$4,0)*Ajustes!$B$4))</x:f>
      </x:c>
      <x:c r="J490" t="n">
        <x:v>64</x:v>
      </x:c>
    </x:row>
    <x:row r="491">
      <x:c r="A491" t="str">
        <x:v>D.G.C</x:v>
      </x:c>
      <x:c r="B491" t="str">
        <x:v>Sanitarios</x:v>
      </x:c>
      <x:c r="C491" s="8" t="str">
        <x:v>Duchadores para Interior</x:v>
      </x:c>
      <x:c r="D491" s="8" t="str">
        <x:v>Duchador Interior C/Gatillo ABS C/Manguera - Cromado</x:v>
      </x:c>
      <x:c r="E491" s="8" t="str">
        <x:v>d-g-c.png</x:v>
      </x:c>
      <x:c r="F491" s="30"/>
      <x:c r="G491" s="34" t="n">
        <x:v>0</x:v>
      </x:c>
      <x:c r="H491" s="30"/>
      <x:c r="I491" s="32" t="str">
        <x:f>IF(H491&lt;&gt;"",H491,IF(F491="","",ROUND((F491*(1+Ajustes!$B$3/100)*(1+IFERROR(VLOOKUP(B491,Ajustes!$A$7:$B$24,2,FALSE),0)/100)*(1+G491/100))/Ajustes!$B$4,0)*Ajustes!$B$4))</x:f>
      </x:c>
      <x:c r="J491" t="n">
        <x:v>65</x:v>
      </x:c>
    </x:row>
    <x:row r="492">
      <x:c r="A492" t="str">
        <x:v>D.C.C</x:v>
      </x:c>
      <x:c r="B492" t="str">
        <x:v>Sanitarios</x:v>
      </x:c>
      <x:c r="C492" s="8" t="str">
        <x:v>Duchadores para Interior</x:v>
      </x:c>
      <x:c r="D492" s="8" t="str">
        <x:v>Duchador Interior C/corte ABS C/Manguera - Cromado</x:v>
      </x:c>
      <x:c r="E492" s="8" t="str">
        <x:v>d-c-c.png</x:v>
      </x:c>
      <x:c r="F492" s="30"/>
      <x:c r="G492" s="34" t="n">
        <x:v>0</x:v>
      </x:c>
      <x:c r="H492" s="30"/>
      <x:c r="I492" s="32" t="str">
        <x:f>IF(H492&lt;&gt;"",H492,IF(F492="","",ROUND((F492*(1+Ajustes!$B$3/100)*(1+IFERROR(VLOOKUP(B492,Ajustes!$A$7:$B$24,2,FALSE),0)/100)*(1+G492/100))/Ajustes!$B$4,0)*Ajustes!$B$4))</x:f>
      </x:c>
      <x:c r="J492" t="n">
        <x:v>65</x:v>
      </x:c>
    </x:row>
    <x:row r="493">
      <x:c r="A493" t="str">
        <x:v>GM.DA.N</x:v>
      </x:c>
      <x:c r="B493" t="str">
        <x:v>Sanitarios</x:v>
      </x:c>
      <x:c r="C493" s="8" t="str">
        <x:v>Completas Canilla + Duchador</x:v>
      </x:c>
      <x:c r="D493" s="8" t="str">
        <x:v>Grifería Monocomando C/Duchador Abajo C/Canilla - MOZART</x:v>
      </x:c>
      <x:c r="E493" s="8" t="str">
        <x:v>gm-da-n.png</x:v>
      </x:c>
      <x:c r="F493" s="30"/>
      <x:c r="G493" s="34" t="n">
        <x:v>0</x:v>
      </x:c>
      <x:c r="H493" s="30"/>
      <x:c r="I493" s="32" t="str">
        <x:f>IF(H493&lt;&gt;"",H493,IF(F493="","",ROUND((F493*(1+Ajustes!$B$3/100)*(1+IFERROR(VLOOKUP(B493,Ajustes!$A$7:$B$24,2,FALSE),0)/100)*(1+G493/100))/Ajustes!$B$4,0)*Ajustes!$B$4))</x:f>
      </x:c>
      <x:c r="J493" t="n">
        <x:v>65</x:v>
      </x:c>
    </x:row>
    <x:row r="494">
      <x:c r="A494" t="str">
        <x:v>GM.DA.C</x:v>
      </x:c>
      <x:c r="B494" t="str">
        <x:v>Sanitarios</x:v>
      </x:c>
      <x:c r="C494" s="8" t="str">
        <x:v>Completas Canilla + Duchador</x:v>
      </x:c>
      <x:c r="D494" s="8" t="str">
        <x:v>Grifería Monocomando C/Duchador Abajo C/Canilla - MOZART</x:v>
      </x:c>
      <x:c r="E494" s="8" t="str">
        <x:v>gm-da-c.png</x:v>
      </x:c>
      <x:c r="F494" s="30"/>
      <x:c r="G494" s="34" t="n">
        <x:v>0</x:v>
      </x:c>
      <x:c r="H494" s="30"/>
      <x:c r="I494" s="32" t="str">
        <x:f>IF(H494&lt;&gt;"",H494,IF(F494="","",ROUND((F494*(1+Ajustes!$B$3/100)*(1+IFERROR(VLOOKUP(B494,Ajustes!$A$7:$B$24,2,FALSE),0)/100)*(1+G494/100))/Ajustes!$B$4,0)*Ajustes!$B$4))</x:f>
      </x:c>
      <x:c r="J494" t="n">
        <x:v>65</x:v>
      </x:c>
    </x:row>
    <x:row r="495">
      <x:c r="A495" t="str">
        <x:v>GM.DAR.N</x:v>
      </x:c>
      <x:c r="B495" t="str">
        <x:v>Sanitarios</x:v>
      </x:c>
      <x:c r="C495" s="8" t="str">
        <x:v>Completas Canilla + Duchador</x:v>
      </x:c>
      <x:c r="D495" s="8" t="str">
        <x:v>Grifería Monocomando C/Duchador Arriba - MOZART</x:v>
      </x:c>
      <x:c r="E495" s="8" t="str">
        <x:v>gm-dar-n.png</x:v>
      </x:c>
      <x:c r="F495" s="30"/>
      <x:c r="G495" s="34" t="n">
        <x:v>0</x:v>
      </x:c>
      <x:c r="H495" s="30"/>
      <x:c r="I495" s="32" t="str">
        <x:f>IF(H495&lt;&gt;"",H495,IF(F495="","",ROUND((F495*(1+Ajustes!$B$3/100)*(1+IFERROR(VLOOKUP(B495,Ajustes!$A$7:$B$24,2,FALSE),0)/100)*(1+G495/100))/Ajustes!$B$4,0)*Ajustes!$B$4))</x:f>
      </x:c>
      <x:c r="J495" t="n">
        <x:v>65</x:v>
      </x:c>
    </x:row>
    <x:row r="496">
      <x:c r="A496" t="str">
        <x:v>GM.DAR.C</x:v>
      </x:c>
      <x:c r="B496" t="str">
        <x:v>Sanitarios</x:v>
      </x:c>
      <x:c r="C496" s="8" t="str">
        <x:v>Completas Canilla + Duchador</x:v>
      </x:c>
      <x:c r="D496" s="8" t="str">
        <x:v>Grifería Monocomando C/Duchador Arriba - MOZART</x:v>
      </x:c>
      <x:c r="E496" s="8" t="str">
        <x:v>gm-dar-c.png</x:v>
      </x:c>
      <x:c r="F496" s="30"/>
      <x:c r="G496" s="34" t="n">
        <x:v>0</x:v>
      </x:c>
      <x:c r="H496" s="30"/>
      <x:c r="I496" s="32" t="str">
        <x:f>IF(H496&lt;&gt;"",H496,IF(F496="","",ROUND((F496*(1+Ajustes!$B$3/100)*(1+IFERROR(VLOOKUP(B496,Ajustes!$A$7:$B$24,2,FALSE),0)/100)*(1+G496/100))/Ajustes!$B$4,0)*Ajustes!$B$4))</x:f>
      </x:c>
      <x:c r="J496" t="n">
        <x:v>65</x:v>
      </x:c>
    </x:row>
    <x:row r="497">
      <x:c r="A497" t="str">
        <x:v>CC.RM.B</x:v>
      </x:c>
      <x:c r="B497" t="str">
        <x:v>Grifería</x:v>
      </x:c>
      <x:c r="C497" s="8" t="str">
        <x:v>Canillas Rebatibles</x:v>
      </x:c>
      <x:c r="D497" s="8" t="str">
        <x:v>Canilla P/Cocina Rebatible C/mezcladora - BRONCE CROMADO</x:v>
      </x:c>
      <x:c r="E497" s="8" t="str">
        <x:v>cc-rm-b.png</x:v>
      </x:c>
      <x:c r="F497" s="30"/>
      <x:c r="G497" s="34" t="n">
        <x:v>0</x:v>
      </x:c>
      <x:c r="H497" s="30"/>
      <x:c r="I497" s="32" t="str">
        <x:f>IF(H497&lt;&gt;"",H497,IF(F497="","",ROUND((F497*(1+Ajustes!$B$3/100)*(1+IFERROR(VLOOKUP(B497,Ajustes!$A$7:$B$24,2,FALSE),0)/100)*(1+G497/100))/Ajustes!$B$4,0)*Ajustes!$B$4))</x:f>
      </x:c>
      <x:c r="J497" t="n">
        <x:v>65</x:v>
      </x:c>
    </x:row>
    <x:row r="498">
      <x:c r="A498" t="str">
        <x:v>CC.R.B</x:v>
      </x:c>
      <x:c r="B498" t="str">
        <x:v>Grifería</x:v>
      </x:c>
      <x:c r="C498" s="8" t="str">
        <x:v>Canillas Rebatibles</x:v>
      </x:c>
      <x:c r="D498" s="8" t="str">
        <x:v>Canilla P/Cocina Rebatible - BRONCE CROMADO</x:v>
      </x:c>
      <x:c r="E498" s="8" t="str">
        <x:v>cc-r-b.png</x:v>
      </x:c>
      <x:c r="F498" s="30"/>
      <x:c r="G498" s="34" t="n">
        <x:v>0</x:v>
      </x:c>
      <x:c r="H498" s="30"/>
      <x:c r="I498" s="32" t="str">
        <x:f>IF(H498&lt;&gt;"",H498,IF(F498="","",ROUND((F498*(1+Ajustes!$B$3/100)*(1+IFERROR(VLOOKUP(B498,Ajustes!$A$7:$B$24,2,FALSE),0)/100)*(1+G498/100))/Ajustes!$B$4,0)*Ajustes!$B$4))</x:f>
      </x:c>
      <x:c r="J498" t="n">
        <x:v>65</x:v>
      </x:c>
    </x:row>
    <x:row r="499">
      <x:c r="A499" t="str">
        <x:v>BA.SH.12</x:v>
      </x:c>
      <x:c r="B499" t="str">
        <x:v>Agua</x:v>
      </x:c>
      <x:c r="C499" s="8" t="str">
        <x:v>Bombas de Agua SHURFLO</x:v>
      </x:c>
      <x:c r="D499" s="8" t="str">
        <x:v>Bomba de agua SHURFLO 12v</x:v>
      </x:c>
      <x:c r="E499" s="8" t="str">
        <x:v>ba-sh-12.png</x:v>
      </x:c>
      <x:c r="F499" s="30"/>
      <x:c r="G499" s="34" t="n">
        <x:v>0</x:v>
      </x:c>
      <x:c r="H499" s="30"/>
      <x:c r="I499" s="32" t="str">
        <x:f>IF(H499&lt;&gt;"",H499,IF(F499="","",ROUND((F499*(1+Ajustes!$B$3/100)*(1+IFERROR(VLOOKUP(B499,Ajustes!$A$7:$B$24,2,FALSE),0)/100)*(1+G499/100))/Ajustes!$B$4,0)*Ajustes!$B$4))</x:f>
      </x:c>
      <x:c r="J499" t="n">
        <x:v>66</x:v>
      </x:c>
    </x:row>
    <x:row r="500">
      <x:c r="A500" t="str">
        <x:v>BA.SH.24</x:v>
      </x:c>
      <x:c r="B500" t="str">
        <x:v>Agua</x:v>
      </x:c>
      <x:c r="C500" s="8" t="str">
        <x:v>Bombas de Agua SHURFLO</x:v>
      </x:c>
      <x:c r="D500" s="8" t="str">
        <x:v>Bomba de agua SHURFLO 24v</x:v>
      </x:c>
      <x:c r="E500" s="8" t="str">
        <x:v>ba-sh-24.png</x:v>
      </x:c>
      <x:c r="F500" s="30"/>
      <x:c r="G500" s="34" t="n">
        <x:v>0</x:v>
      </x:c>
      <x:c r="H500" s="30"/>
      <x:c r="I500" s="32" t="str">
        <x:f>IF(H500&lt;&gt;"",H500,IF(F500="","",ROUND((F500*(1+Ajustes!$B$3/100)*(1+IFERROR(VLOOKUP(B500,Ajustes!$A$7:$B$24,2,FALSE),0)/100)*(1+G500/100))/Ajustes!$B$4,0)*Ajustes!$B$4))</x:f>
      </x:c>
      <x:c r="J500" t="n">
        <x:v>66</x:v>
      </x:c>
    </x:row>
    <x:row r="501">
      <x:c r="A501" t="str">
        <x:v>BA.SH.F</x:v>
      </x:c>
      <x:c r="B501" t="str">
        <x:v>Agua</x:v>
      </x:c>
      <x:c r="C501" s="8" t="str">
        <x:v>Bombas de Agua SHURFLO</x:v>
      </x:c>
      <x:c r="D501" s="8" t="str">
        <x:v>Filtro P/Bomba de Agua SHURFLO</x:v>
      </x:c>
      <x:c r="E501" s="8" t="str">
        <x:v>ba-sh-f.png</x:v>
      </x:c>
      <x:c r="F501" s="30"/>
      <x:c r="G501" s="34" t="n">
        <x:v>0</x:v>
      </x:c>
      <x:c r="H501" s="30"/>
      <x:c r="I501" s="32" t="str">
        <x:f>IF(H501&lt;&gt;"",H501,IF(F501="","",ROUND((F501*(1+Ajustes!$B$3/100)*(1+IFERROR(VLOOKUP(B501,Ajustes!$A$7:$B$24,2,FALSE),0)/100)*(1+G501/100))/Ajustes!$B$4,0)*Ajustes!$B$4))</x:f>
      </x:c>
      <x:c r="J501" t="n">
        <x:v>66</x:v>
      </x:c>
    </x:row>
    <x:row r="502">
      <x:c r="A502" t="str">
        <x:v>BA.SH.P</x:v>
      </x:c>
      <x:c r="B502" t="str">
        <x:v>Agua</x:v>
      </x:c>
      <x:c r="C502" s="8" t="str">
        <x:v>Bombas de Agua SHURFLO</x:v>
      </x:c>
      <x:c r="D502" s="8" t="str">
        <x:v>Pico Adaptador P/Bomba de Agua SHURFLO - Rosca 1/2" a Manguera</x:v>
      </x:c>
      <x:c r="E502" s="8" t="str">
        <x:v>ba-sh-p.png</x:v>
      </x:c>
      <x:c r="F502" s="30"/>
      <x:c r="G502" s="34" t="n">
        <x:v>0</x:v>
      </x:c>
      <x:c r="H502" s="30"/>
      <x:c r="I502" s="32" t="str">
        <x:f>IF(H502&lt;&gt;"",H502,IF(F502="","",ROUND((F502*(1+Ajustes!$B$3/100)*(1+IFERROR(VLOOKUP(B502,Ajustes!$A$7:$B$24,2,FALSE),0)/100)*(1+G502/100))/Ajustes!$B$4,0)*Ajustes!$B$4))</x:f>
      </x:c>
      <x:c r="J502" t="n">
        <x:v>66</x:v>
      </x:c>
    </x:row>
    <x:row r="503">
      <x:c r="A503" t="str">
        <x:v>BA.S4.12</x:v>
      </x:c>
      <x:c r="B503" t="str">
        <x:v>Agua</x:v>
      </x:c>
      <x:c r="C503" s="8" t="str">
        <x:v>Bombas de Agua SEAFLO</x:v>
      </x:c>
      <x:c r="D503" s="8" t="str">
        <x:v>Bomba de Agua SEAFLO 12v</x:v>
      </x:c>
      <x:c r="E503" s="8" t="str">
        <x:v>ba-s4-12.png</x:v>
      </x:c>
      <x:c r="F503" s="30"/>
      <x:c r="G503" s="34" t="n">
        <x:v>0</x:v>
      </x:c>
      <x:c r="H503" s="30"/>
      <x:c r="I503" s="32" t="str">
        <x:f>IF(H503&lt;&gt;"",H503,IF(F503="","",ROUND((F503*(1+Ajustes!$B$3/100)*(1+IFERROR(VLOOKUP(B503,Ajustes!$A$7:$B$24,2,FALSE),0)/100)*(1+G503/100))/Ajustes!$B$4,0)*Ajustes!$B$4))</x:f>
      </x:c>
      <x:c r="J503" t="n">
        <x:v>66</x:v>
      </x:c>
    </x:row>
    <x:row r="504">
      <x:c r="A504" t="str">
        <x:v>BA.S56.12</x:v>
      </x:c>
      <x:c r="B504" t="str">
        <x:v>Agua</x:v>
      </x:c>
      <x:c r="C504" s="8" t="str">
        <x:v>Bombas de Agua SEAFLO</x:v>
      </x:c>
      <x:c r="D504" s="8" t="str">
        <x:v>Bomba de Agua SEAFLO 12v</x:v>
      </x:c>
      <x:c r="E504" s="8" t="str">
        <x:v>ba-s56-12.png</x:v>
      </x:c>
      <x:c r="F504" s="30"/>
      <x:c r="G504" s="34" t="n">
        <x:v>0</x:v>
      </x:c>
      <x:c r="H504" s="30"/>
      <x:c r="I504" s="32" t="str">
        <x:f>IF(H504&lt;&gt;"",H504,IF(F504="","",ROUND((F504*(1+Ajustes!$B$3/100)*(1+IFERROR(VLOOKUP(B504,Ajustes!$A$7:$B$24,2,FALSE),0)/100)*(1+G504/100))/Ajustes!$B$4,0)*Ajustes!$B$4))</x:f>
      </x:c>
      <x:c r="J504" t="n">
        <x:v>66</x:v>
      </x:c>
    </x:row>
    <x:row r="505">
      <x:c r="A505" t="str">
        <x:v>BA.S13.12</x:v>
      </x:c>
      <x:c r="B505" t="str">
        <x:v>Agua</x:v>
      </x:c>
      <x:c r="C505" s="8" t="str">
        <x:v>Bombas de Agua SEAFLO</x:v>
      </x:c>
      <x:c r="D505" s="8" t="str">
        <x:v>Bomba de Agua SEAFLO 12v</x:v>
      </x:c>
      <x:c r="E505" s="8" t="str">
        <x:v>ba-s13-12.png</x:v>
      </x:c>
      <x:c r="F505" s="30"/>
      <x:c r="G505" s="34" t="n">
        <x:v>0</x:v>
      </x:c>
      <x:c r="H505" s="30"/>
      <x:c r="I505" s="32" t="str">
        <x:f>IF(H505&lt;&gt;"",H505,IF(F505="","",ROUND((F505*(1+Ajustes!$B$3/100)*(1+IFERROR(VLOOKUP(B505,Ajustes!$A$7:$B$24,2,FALSE),0)/100)*(1+G505/100))/Ajustes!$B$4,0)*Ajustes!$B$4))</x:f>
      </x:c>
      <x:c r="J505" t="n">
        <x:v>66</x:v>
      </x:c>
    </x:row>
    <x:row r="506">
      <x:c r="A506" t="str">
        <x:v>BA.S17.12</x:v>
      </x:c>
      <x:c r="B506" t="str">
        <x:v>Agua</x:v>
      </x:c>
      <x:c r="C506" s="8" t="str">
        <x:v>Bombas de Agua SEAFLO</x:v>
      </x:c>
      <x:c r="D506" s="8" t="str">
        <x:v>Bomba de Agua SEAFLO 12v</x:v>
      </x:c>
      <x:c r="E506" s="8" t="str">
        <x:v>ba-s17-12.png</x:v>
      </x:c>
      <x:c r="F506" s="30"/>
      <x:c r="G506" s="34" t="n">
        <x:v>0</x:v>
      </x:c>
      <x:c r="H506" s="30"/>
      <x:c r="I506" s="32" t="str">
        <x:f>IF(H506&lt;&gt;"",H506,IF(F506="","",ROUND((F506*(1+Ajustes!$B$3/100)*(1+IFERROR(VLOOKUP(B506,Ajustes!$A$7:$B$24,2,FALSE),0)/100)*(1+G506/100))/Ajustes!$B$4,0)*Ajustes!$B$4))</x:f>
      </x:c>
      <x:c r="J506" t="n">
        <x:v>66</x:v>
      </x:c>
    </x:row>
    <x:row r="507">
      <x:c r="A507" t="str">
        <x:v>BA.S17.24</x:v>
      </x:c>
      <x:c r="B507" t="str">
        <x:v>Agua</x:v>
      </x:c>
      <x:c r="C507" s="8" t="str">
        <x:v>Bombas de Agua SEAFLO</x:v>
      </x:c>
      <x:c r="D507" s="8" t="str">
        <x:v>Bomba de Agua SEAFLO 24v</x:v>
      </x:c>
      <x:c r="E507" s="8" t="str">
        <x:v>ba-s17-24.png</x:v>
      </x:c>
      <x:c r="F507" s="30"/>
      <x:c r="G507" s="34" t="n">
        <x:v>0</x:v>
      </x:c>
      <x:c r="H507" s="30"/>
      <x:c r="I507" s="32" t="str">
        <x:f>IF(H507&lt;&gt;"",H507,IF(F507="","",ROUND((F507*(1+Ajustes!$B$3/100)*(1+IFERROR(VLOOKUP(B507,Ajustes!$A$7:$B$24,2,FALSE),0)/100)*(1+G507/100))/Ajustes!$B$4,0)*Ajustes!$B$4))</x:f>
      </x:c>
      <x:c r="J507" t="n">
        <x:v>67</x:v>
      </x:c>
    </x:row>
    <x:row r="508">
      <x:c r="A508" t="str">
        <x:v>BA.S45.12</x:v>
      </x:c>
      <x:c r="B508" t="str">
        <x:v>Agua</x:v>
      </x:c>
      <x:c r="C508" s="8" t="str">
        <x:v>Bombas de Agua SEAFLO</x:v>
      </x:c>
      <x:c r="D508" s="8" t="str">
        <x:v>Bomba de agua SEAFLO 12v</x:v>
      </x:c>
      <x:c r="E508" s="8" t="str">
        <x:v>ba-s45-12.png</x:v>
      </x:c>
      <x:c r="F508" s="30"/>
      <x:c r="G508" s="34" t="n">
        <x:v>0</x:v>
      </x:c>
      <x:c r="H508" s="30"/>
      <x:c r="I508" s="32" t="str">
        <x:f>IF(H508&lt;&gt;"",H508,IF(F508="","",ROUND((F508*(1+Ajustes!$B$3/100)*(1+IFERROR(VLOOKUP(B508,Ajustes!$A$7:$B$24,2,FALSE),0)/100)*(1+G508/100))/Ajustes!$B$4,0)*Ajustes!$B$4))</x:f>
      </x:c>
      <x:c r="J508" t="n">
        <x:v>67</x:v>
      </x:c>
    </x:row>
    <x:row r="509">
      <x:c r="A509" t="str">
        <x:v>BA.4.12</x:v>
      </x:c>
      <x:c r="B509" t="str">
        <x:v>Agua</x:v>
      </x:c>
      <x:c r="C509" s="8" t="str">
        <x:v>Bombas de Agua SINGFLO</x:v>
      </x:c>
      <x:c r="D509" s="8" t="str">
        <x:v>Bomba de agua SINGFLO 12v</x:v>
      </x:c>
      <x:c r="E509" s="8" t="str">
        <x:v>ba-4-12.png</x:v>
      </x:c>
      <x:c r="F509" s="30"/>
      <x:c r="G509" s="34" t="n">
        <x:v>0</x:v>
      </x:c>
      <x:c r="H509" s="30"/>
      <x:c r="I509" s="32" t="str">
        <x:f>IF(H509&lt;&gt;"",H509,IF(F509="","",ROUND((F509*(1+Ajustes!$B$3/100)*(1+IFERROR(VLOOKUP(B509,Ajustes!$A$7:$B$24,2,FALSE),0)/100)*(1+G509/100))/Ajustes!$B$4,0)*Ajustes!$B$4))</x:f>
      </x:c>
      <x:c r="J509" t="n">
        <x:v>67</x:v>
      </x:c>
    </x:row>
    <x:row r="510">
      <x:c r="A510" t="str">
        <x:v>BA.6.12</x:v>
      </x:c>
      <x:c r="B510" t="str">
        <x:v>Agua</x:v>
      </x:c>
      <x:c r="C510" s="8" t="str">
        <x:v>Bombas de Agua SINGFLO</x:v>
      </x:c>
      <x:c r="D510" s="8" t="str">
        <x:v>Bomba de agua SINGFLO 12v</x:v>
      </x:c>
      <x:c r="E510" s="8" t="str">
        <x:v>ba-6-12.png</x:v>
      </x:c>
      <x:c r="F510" s="30"/>
      <x:c r="G510" s="34" t="n">
        <x:v>0</x:v>
      </x:c>
      <x:c r="H510" s="30"/>
      <x:c r="I510" s="32" t="str">
        <x:f>IF(H510&lt;&gt;"",H510,IF(F510="","",ROUND((F510*(1+Ajustes!$B$3/100)*(1+IFERROR(VLOOKUP(B510,Ajustes!$A$7:$B$24,2,FALSE),0)/100)*(1+G510/100))/Ajustes!$B$4,0)*Ajustes!$B$4))</x:f>
      </x:c>
      <x:c r="J510" t="n">
        <x:v>67</x:v>
      </x:c>
    </x:row>
    <x:row r="511">
      <x:c r="A511" t="str">
        <x:v>BAT.49.12</x:v>
      </x:c>
      <x:c r="B511" t="str">
        <x:v>Agua</x:v>
      </x:c>
      <x:c r="C511" s="8" t="str">
        <x:v>Bombas de Agua SINGFLO</x:v>
      </x:c>
      <x:c r="D511" s="8" t="str">
        <x:v>Bomba de agua SINGFLO 12v</x:v>
      </x:c>
      <x:c r="E511" s="8" t="str">
        <x:v>bat-49-12.png</x:v>
      </x:c>
      <x:c r="F511" s="30"/>
      <x:c r="G511" s="34" t="n">
        <x:v>0</x:v>
      </x:c>
      <x:c r="H511" s="30"/>
      <x:c r="I511" s="32" t="str">
        <x:f>IF(H511&lt;&gt;"",H511,IF(F511="","",ROUND((F511*(1+Ajustes!$B$3/100)*(1+IFERROR(VLOOKUP(B511,Ajustes!$A$7:$B$24,2,FALSE),0)/100)*(1+G511/100))/Ajustes!$B$4,0)*Ajustes!$B$4))</x:f>
      </x:c>
      <x:c r="J511" t="n">
        <x:v>67</x:v>
      </x:c>
    </x:row>
    <x:row r="512">
      <x:c r="A512" t="str">
        <x:v>TA</x:v>
      </x:c>
      <x:c r="B512" t="str">
        <x:v>Agua</x:v>
      </x:c>
      <x:c r="C512" s="8" t="str">
        <x:v>Tanques Acumuladores</x:v>
      </x:c>
      <x:c r="D512" s="8" t="str">
        <x:v>Tanque Acumulador FIVE OCEANS - Pulmon de Agua</x:v>
      </x:c>
      <x:c r="E512" s="8" t="str">
        <x:v>ta.png</x:v>
      </x:c>
      <x:c r="F512" s="30"/>
      <x:c r="G512" s="34" t="n">
        <x:v>0</x:v>
      </x:c>
      <x:c r="H512" s="30"/>
      <x:c r="I512" s="32" t="str">
        <x:f>IF(H512&lt;&gt;"",H512,IF(F512="","",ROUND((F512*(1+Ajustes!$B$3/100)*(1+IFERROR(VLOOKUP(B512,Ajustes!$A$7:$B$24,2,FALSE),0)/100)*(1+G512/100))/Ajustes!$B$4,0)*Ajustes!$B$4))</x:f>
      </x:c>
      <x:c r="J512" t="n">
        <x:v>67</x:v>
      </x:c>
    </x:row>
    <x:row r="513">
      <x:c r="A513" t="str">
        <x:v>TAG</x:v>
      </x:c>
      <x:c r="B513" t="str">
        <x:v>Agua</x:v>
      </x:c>
      <x:c r="C513" s="8" t="str">
        <x:v>Tanques Acumuladores</x:v>
      </x:c>
      <x:c r="D513" s="8" t="str">
        <x:v>Tanque Acumulador SAILINGFLO - Pulmon de Agua</x:v>
      </x:c>
      <x:c r="E513" s="8" t="str">
        <x:v>tag.png</x:v>
      </x:c>
      <x:c r="F513" s="30"/>
      <x:c r="G513" s="34" t="n">
        <x:v>0</x:v>
      </x:c>
      <x:c r="H513" s="30"/>
      <x:c r="I513" s="32" t="str">
        <x:f>IF(H513&lt;&gt;"",H513,IF(F513="","",ROUND((F513*(1+Ajustes!$B$3/100)*(1+IFERROR(VLOOKUP(B513,Ajustes!$A$7:$B$24,2,FALSE),0)/100)*(1+G513/100))/Ajustes!$B$4,0)*Ajustes!$B$4))</x:f>
      </x:c>
      <x:c r="J513" t="n">
        <x:v>67</x:v>
      </x:c>
    </x:row>
    <x:row r="514">
      <x:c r="A514" t="str">
        <x:v>LEE.3</x:v>
      </x:c>
      <x:c r="B514" t="str">
        <x:v>Agua</x:v>
      </x:c>
      <x:c r="C514" s="8" t="str">
        <x:v>Llaves Exclusas Electricas</x:v>
      </x:c>
      <x:c r="D514" s="8" t="str">
        <x:v>Llave exclusa Electrica 3"</x:v>
      </x:c>
      <x:c r="E514" s="8" t="str">
        <x:v>lee-3.png</x:v>
      </x:c>
      <x:c r="F514" s="30"/>
      <x:c r="G514" s="34" t="n">
        <x:v>0</x:v>
      </x:c>
      <x:c r="H514" s="30"/>
      <x:c r="I514" s="32" t="str">
        <x:f>IF(H514&lt;&gt;"",H514,IF(F514="","",ROUND((F514*(1+Ajustes!$B$3/100)*(1+IFERROR(VLOOKUP(B514,Ajustes!$A$7:$B$24,2,FALSE),0)/100)*(1+G514/100))/Ajustes!$B$4,0)*Ajustes!$B$4))</x:f>
      </x:c>
      <x:c r="J514" t="n">
        <x:v>68</x:v>
      </x:c>
    </x:row>
    <x:row r="515">
      <x:c r="A515" t="str">
        <x:v>LE.3.C</x:v>
      </x:c>
      <x:c r="B515" t="str">
        <x:v>Agua</x:v>
      </x:c>
      <x:c r="C515" s="8" t="str">
        <x:v>Llaves Exclusas con Cable</x:v>
      </x:c>
      <x:c r="D515" s="8" t="str">
        <x:v>Llave exclusa 3" C/cable 180 cm</x:v>
      </x:c>
      <x:c r="E515" s="8" t="str">
        <x:v>le-3-c.png</x:v>
      </x:c>
      <x:c r="F515" s="30"/>
      <x:c r="G515" s="34" t="n">
        <x:v>0</x:v>
      </x:c>
      <x:c r="H515" s="30"/>
      <x:c r="I515" s="32" t="str">
        <x:f>IF(H515&lt;&gt;"",H515,IF(F515="","",ROUND((F515*(1+Ajustes!$B$3/100)*(1+IFERROR(VLOOKUP(B515,Ajustes!$A$7:$B$24,2,FALSE),0)/100)*(1+G515/100))/Ajustes!$B$4,0)*Ajustes!$B$4))</x:f>
      </x:c>
      <x:c r="J515" t="n">
        <x:v>68</x:v>
      </x:c>
    </x:row>
    <x:row r="516">
      <x:c r="A516" t="str">
        <x:v>LE.112.C</x:v>
      </x:c>
      <x:c r="B516" t="str">
        <x:v>Agua</x:v>
      </x:c>
      <x:c r="C516" s="8" t="str">
        <x:v>Llaves Exclusas con Cable</x:v>
      </x:c>
      <x:c r="D516" s="8" t="str">
        <x:v>Llave exclusa 1 1/2" C/Cable 180 cm</x:v>
      </x:c>
      <x:c r="E516" s="8" t="str">
        <x:v>le-112-c.png</x:v>
      </x:c>
      <x:c r="F516" s="30"/>
      <x:c r="G516" s="34" t="n">
        <x:v>0</x:v>
      </x:c>
      <x:c r="H516" s="30"/>
      <x:c r="I516" s="32" t="str">
        <x:f>IF(H516&lt;&gt;"",H516,IF(F516="","",ROUND((F516*(1+Ajustes!$B$3/100)*(1+IFERROR(VLOOKUP(B516,Ajustes!$A$7:$B$24,2,FALSE),0)/100)*(1+G516/100))/Ajustes!$B$4,0)*Ajustes!$B$4))</x:f>
      </x:c>
      <x:c r="J516" t="n">
        <x:v>68</x:v>
      </x:c>
    </x:row>
    <x:row r="517">
      <x:c r="A517" t="str">
        <x:v>LE.3</x:v>
      </x:c>
      <x:c r="B517" t="str">
        <x:v>Agua</x:v>
      </x:c>
      <x:c r="C517" s="8" t="str">
        <x:v>Llaves Exclusas</x:v>
      </x:c>
      <x:c r="D517" s="8" t="str">
        <x:v>Llave exclusa 3"</x:v>
      </x:c>
      <x:c r="E517" s="8" t="str">
        <x:v>le-3.png</x:v>
      </x:c>
      <x:c r="F517" s="30"/>
      <x:c r="G517" s="34" t="n">
        <x:v>0</x:v>
      </x:c>
      <x:c r="H517" s="30"/>
      <x:c r="I517" s="32" t="str">
        <x:f>IF(H517&lt;&gt;"",H517,IF(F517="","",ROUND((F517*(1+Ajustes!$B$3/100)*(1+IFERROR(VLOOKUP(B517,Ajustes!$A$7:$B$24,2,FALSE),0)/100)*(1+G517/100))/Ajustes!$B$4,0)*Ajustes!$B$4))</x:f>
      </x:c>
      <x:c r="J517" t="n">
        <x:v>68</x:v>
      </x:c>
    </x:row>
    <x:row r="518">
      <x:c r="A518" t="str">
        <x:v>LE.112</x:v>
      </x:c>
      <x:c r="B518" t="str">
        <x:v>Agua</x:v>
      </x:c>
      <x:c r="C518" s="8" t="str">
        <x:v>Llaves Exclusas</x:v>
      </x:c>
      <x:c r="D518" s="8" t="str">
        <x:v>Llave exclusa 1 1/2"</x:v>
      </x:c>
      <x:c r="E518" s="8" t="str">
        <x:v>le-112.png</x:v>
      </x:c>
      <x:c r="F518" s="30"/>
      <x:c r="G518" s="34" t="n">
        <x:v>0</x:v>
      </x:c>
      <x:c r="H518" s="30"/>
      <x:c r="I518" s="32" t="str">
        <x:f>IF(H518&lt;&gt;"",H518,IF(F518="","",ROUND((F518*(1+Ajustes!$B$3/100)*(1+IFERROR(VLOOKUP(B518,Ajustes!$A$7:$B$24,2,FALSE),0)/100)*(1+G518/100))/Ajustes!$B$4,0)*Ajustes!$B$4))</x:f>
      </x:c>
      <x:c r="J518" t="n">
        <x:v>68</x:v>
      </x:c>
    </x:row>
    <x:row r="519">
      <x:c r="A519" t="str">
        <x:v>AT.LE.3</x:v>
      </x:c>
      <x:c r="B519" t="str">
        <x:v>Agua</x:v>
      </x:c>
      <x:c r="C519" s="8" t="str">
        <x:v>Acoples para Llaves Exclusas</x:v>
      </x:c>
      <x:c r="D519" s="8" t="str">
        <x:v>Acople de Tanque de Agua a Llave Exclusa 3"</x:v>
      </x:c>
      <x:c r="E519" s="8" t="str">
        <x:v>at-le-3.png</x:v>
      </x:c>
      <x:c r="F519" s="30"/>
      <x:c r="G519" s="34" t="n">
        <x:v>0</x:v>
      </x:c>
      <x:c r="H519" s="30"/>
      <x:c r="I519" s="32" t="str">
        <x:f>IF(H519&lt;&gt;"",H519,IF(F519="","",ROUND((F519*(1+Ajustes!$B$3/100)*(1+IFERROR(VLOOKUP(B519,Ajustes!$A$7:$B$24,2,FALSE),0)/100)*(1+G519/100))/Ajustes!$B$4,0)*Ajustes!$B$4))</x:f>
      </x:c>
      <x:c r="J519" t="n">
        <x:v>68</x:v>
      </x:c>
    </x:row>
    <x:row r="520">
      <x:c r="A520" t="str">
        <x:v>AT.LE.112</x:v>
      </x:c>
      <x:c r="B520" t="str">
        <x:v>Agua</x:v>
      </x:c>
      <x:c r="C520" s="8" t="str">
        <x:v>Acoples para Llaves Exclusas</x:v>
      </x:c>
      <x:c r="D520" s="8" t="str">
        <x:v>Acople de Tanque de Agua a Llave Exclusa 1 1/2"</x:v>
      </x:c>
      <x:c r="E520" s="8" t="str">
        <x:v>at-le-112.png</x:v>
      </x:c>
      <x:c r="F520" s="30"/>
      <x:c r="G520" s="34" t="n">
        <x:v>0</x:v>
      </x:c>
      <x:c r="H520" s="30"/>
      <x:c r="I520" s="32" t="str">
        <x:f>IF(H520&lt;&gt;"",H520,IF(F520="","",ROUND((F520*(1+Ajustes!$B$3/100)*(1+IFERROR(VLOOKUP(B520,Ajustes!$A$7:$B$24,2,FALSE),0)/100)*(1+G520/100))/Ajustes!$B$4,0)*Ajustes!$B$4))</x:f>
      </x:c>
      <x:c r="J520" t="n">
        <x:v>68</x:v>
      </x:c>
    </x:row>
    <x:row r="521">
      <x:c r="A521" t="str">
        <x:v>MT.1T</x:v>
      </x:c>
      <x:c r="B521" t="str">
        <x:v>Agua</x:v>
      </x:c>
      <x:c r="C521" s="8" t="str">
        <x:v>Medidores para Tanques de Agua</x:v>
      </x:c>
      <x:c r="D521" s="8" t="str">
        <x:v>Medidor Tactil P/1 Tanque de Agua</x:v>
      </x:c>
      <x:c r="E521" s="8" t="str">
        <x:v>mt-1t.png</x:v>
      </x:c>
      <x:c r="F521" s="30"/>
      <x:c r="G521" s="34" t="n">
        <x:v>0</x:v>
      </x:c>
      <x:c r="H521" s="30"/>
      <x:c r="I521" s="32" t="str">
        <x:f>IF(H521&lt;&gt;"",H521,IF(F521="","",ROUND((F521*(1+Ajustes!$B$3/100)*(1+IFERROR(VLOOKUP(B521,Ajustes!$A$7:$B$24,2,FALSE),0)/100)*(1+G521/100))/Ajustes!$B$4,0)*Ajustes!$B$4))</x:f>
      </x:c>
      <x:c r="J521" t="n">
        <x:v>69</x:v>
      </x:c>
    </x:row>
    <x:row r="522">
      <x:c r="A522" t="str">
        <x:v>MT.2T</x:v>
      </x:c>
      <x:c r="B522" t="str">
        <x:v>Agua</x:v>
      </x:c>
      <x:c r="C522" s="8" t="str">
        <x:v>Medidores para Tanques de Agua</x:v>
      </x:c>
      <x:c r="D522" s="8" t="str">
        <x:v>Medidor Tactil P/2 Tanques de Agua</x:v>
      </x:c>
      <x:c r="E522" s="8" t="str">
        <x:v>mt-2t.png</x:v>
      </x:c>
      <x:c r="F522" s="30"/>
      <x:c r="G522" s="34" t="n">
        <x:v>0</x:v>
      </x:c>
      <x:c r="H522" s="30"/>
      <x:c r="I522" s="32" t="str">
        <x:f>IF(H522&lt;&gt;"",H522,IF(F522="","",ROUND((F522*(1+Ajustes!$B$3/100)*(1+IFERROR(VLOOKUP(B522,Ajustes!$A$7:$B$24,2,FALSE),0)/100)*(1+G522/100))/Ajustes!$B$4,0)*Ajustes!$B$4))</x:f>
      </x:c>
      <x:c r="J522" t="n">
        <x:v>69</x:v>
      </x:c>
    </x:row>
    <x:row r="523">
      <x:c r="A523" t="str">
        <x:v>MT.3T</x:v>
      </x:c>
      <x:c r="B523" t="str">
        <x:v>Agua</x:v>
      </x:c>
      <x:c r="C523" s="8" t="str">
        <x:v>Medidores para Tanques de Agua</x:v>
      </x:c>
      <x:c r="D523" s="8" t="str">
        <x:v>Medidor Tactil P/3 Tanques de Agua</x:v>
      </x:c>
      <x:c r="E523" s="8" t="str">
        <x:v>mt-3t.png</x:v>
      </x:c>
      <x:c r="F523" s="30"/>
      <x:c r="G523" s="34" t="n">
        <x:v>0</x:v>
      </x:c>
      <x:c r="H523" s="30"/>
      <x:c r="I523" s="32" t="str">
        <x:f>IF(H523&lt;&gt;"",H523,IF(F523="","",ROUND((F523*(1+Ajustes!$B$3/100)*(1+IFERROR(VLOOKUP(B523,Ajustes!$A$7:$B$24,2,FALSE),0)/100)*(1+G523/100))/Ajustes!$B$4,0)*Ajustes!$B$4))</x:f>
      </x:c>
      <x:c r="J523" t="n">
        <x:v>69</x:v>
      </x:c>
    </x:row>
    <x:row r="524">
      <x:c r="A524" t="str">
        <x:v>MT.1</x:v>
      </x:c>
      <x:c r="B524" t="str">
        <x:v>Agua</x:v>
      </x:c>
      <x:c r="C524" s="8" t="str">
        <x:v>Medidores para Tanques de Agua</x:v>
      </x:c>
      <x:c r="D524" s="8" t="str">
        <x:v>Medidor P/1 Tanque de Agua</x:v>
      </x:c>
      <x:c r="E524" s="8" t="str">
        <x:v>mt-1.png</x:v>
      </x:c>
      <x:c r="F524" s="30"/>
      <x:c r="G524" s="34" t="n">
        <x:v>0</x:v>
      </x:c>
      <x:c r="H524" s="30"/>
      <x:c r="I524" s="32" t="str">
        <x:f>IF(H524&lt;&gt;"",H524,IF(F524="","",ROUND((F524*(1+Ajustes!$B$3/100)*(1+IFERROR(VLOOKUP(B524,Ajustes!$A$7:$B$24,2,FALSE),0)/100)*(1+G524/100))/Ajustes!$B$4,0)*Ajustes!$B$4))</x:f>
      </x:c>
      <x:c r="J524" t="n">
        <x:v>69</x:v>
      </x:c>
    </x:row>
    <x:row r="525">
      <x:c r="A525" t="str">
        <x:v>MT.2</x:v>
      </x:c>
      <x:c r="B525" t="str">
        <x:v>Agua</x:v>
      </x:c>
      <x:c r="C525" s="8" t="str">
        <x:v>Medidores para Tanques de Agua</x:v>
      </x:c>
      <x:c r="D525" s="8" t="str">
        <x:v>Medidor P/2 Tanques de Agua</x:v>
      </x:c>
      <x:c r="E525" s="8" t="str">
        <x:v>mt-2.png</x:v>
      </x:c>
      <x:c r="F525" s="30"/>
      <x:c r="G525" s="34" t="n">
        <x:v>0</x:v>
      </x:c>
      <x:c r="H525" s="30"/>
      <x:c r="I525" s="32" t="str">
        <x:f>IF(H525&lt;&gt;"",H525,IF(F525="","",ROUND((F525*(1+Ajustes!$B$3/100)*(1+IFERROR(VLOOKUP(B525,Ajustes!$A$7:$B$24,2,FALSE),0)/100)*(1+G525/100))/Ajustes!$B$4,0)*Ajustes!$B$4))</x:f>
      </x:c>
      <x:c r="J525" t="n">
        <x:v>69</x:v>
      </x:c>
    </x:row>
    <x:row r="526">
      <x:c r="A526" t="str">
        <x:v>MT.3</x:v>
      </x:c>
      <x:c r="B526" t="str">
        <x:v>Agua</x:v>
      </x:c>
      <x:c r="C526" s="8" t="str">
        <x:v>Medidores para Tanques de Agua</x:v>
      </x:c>
      <x:c r="D526" s="8" t="str">
        <x:v>Medidor P/3 Tanques de Agua</x:v>
      </x:c>
      <x:c r="E526" s="8" t="str">
        <x:v>mt-3.png</x:v>
      </x:c>
      <x:c r="F526" s="30"/>
      <x:c r="G526" s="34" t="n">
        <x:v>0</x:v>
      </x:c>
      <x:c r="H526" s="30"/>
      <x:c r="I526" s="32" t="str">
        <x:f>IF(H526&lt;&gt;"",H526,IF(F526="","",ROUND((F526*(1+Ajustes!$B$3/100)*(1+IFERROR(VLOOKUP(B526,Ajustes!$A$7:$B$24,2,FALSE),0)/100)*(1+G526/100))/Ajustes!$B$4,0)*Ajustes!$B$4))</x:f>
      </x:c>
      <x:c r="J526" t="n">
        <x:v>69</x:v>
      </x:c>
    </x:row>
    <x:row r="527">
      <x:c r="A527" t="str">
        <x:v>MT.4</x:v>
      </x:c>
      <x:c r="B527" t="str">
        <x:v>Agua</x:v>
      </x:c>
      <x:c r="C527" s="8" t="str">
        <x:v>Medidores para Tanques de Agua</x:v>
      </x:c>
      <x:c r="D527" s="8" t="str">
        <x:v>Medidor P/4 Tanques de Agua</x:v>
      </x:c>
      <x:c r="E527" s="8" t="str">
        <x:v>mt-4.png</x:v>
      </x:c>
      <x:c r="F527" s="30"/>
      <x:c r="G527" s="34" t="n">
        <x:v>0</x:v>
      </x:c>
      <x:c r="H527" s="30"/>
      <x:c r="I527" s="32" t="str">
        <x:f>IF(H527&lt;&gt;"",H527,IF(F527="","",ROUND((F527*(1+Ajustes!$B$3/100)*(1+IFERROR(VLOOKUP(B527,Ajustes!$A$7:$B$24,2,FALSE),0)/100)*(1+G527/100))/Ajustes!$B$4,0)*Ajustes!$B$4))</x:f>
      </x:c>
      <x:c r="J527" t="n">
        <x:v>69</x:v>
      </x:c>
    </x:row>
    <x:row r="528">
      <x:c r="A528" t="str">
        <x:v>TTL.112.NR</x:v>
      </x:c>
      <x:c r="B528" t="str">
        <x:v>Agua</x:v>
      </x:c>
      <x:c r="C528" s="8" t="str">
        <x:v>Tapas de Tanque para Ingreso de Agua</x:v>
      </x:c>
      <x:c r="D528" s="8" t="str">
        <x:v>Tapa de Tanque de Agua C/Llave 1 1/2" + Boca de Venteo - REIMO</x:v>
      </x:c>
      <x:c r="E528" s="8" t="str">
        <x:v>ttl-112-nr.png</x:v>
      </x:c>
      <x:c r="F528" s="30"/>
      <x:c r="G528" s="34" t="n">
        <x:v>0</x:v>
      </x:c>
      <x:c r="H528" s="30"/>
      <x:c r="I528" s="32" t="str">
        <x:f>IF(H528&lt;&gt;"",H528,IF(F528="","",ROUND((F528*(1+Ajustes!$B$3/100)*(1+IFERROR(VLOOKUP(B528,Ajustes!$A$7:$B$24,2,FALSE),0)/100)*(1+G528/100))/Ajustes!$B$4,0)*Ajustes!$B$4))</x:f>
      </x:c>
      <x:c r="J528" t="n">
        <x:v>69</x:v>
      </x:c>
    </x:row>
    <x:row r="529">
      <x:c r="A529" t="str">
        <x:v>TTL.112.SB</x:v>
      </x:c>
      <x:c r="B529" t="str">
        <x:v>Agua</x:v>
      </x:c>
      <x:c r="C529" s="8" t="str">
        <x:v>Tapas de Tanque para Ingreso de Agua</x:v>
      </x:c>
      <x:c r="D529" s="8" t="str">
        <x:v>Tapa de Tanque de Agua C/Llave 1" - SEAFLO BLANCA</x:v>
      </x:c>
      <x:c r="E529" s="8" t="str">
        <x:v>ttl-112-sb.png</x:v>
      </x:c>
      <x:c r="F529" s="30"/>
      <x:c r="G529" s="34" t="n">
        <x:v>0</x:v>
      </x:c>
      <x:c r="H529" s="30"/>
      <x:c r="I529" s="32" t="str">
        <x:f>IF(H529&lt;&gt;"",H529,IF(F529="","",ROUND((F529*(1+Ajustes!$B$3/100)*(1+IFERROR(VLOOKUP(B529,Ajustes!$A$7:$B$24,2,FALSE),0)/100)*(1+G529/100))/Ajustes!$B$4,0)*Ajustes!$B$4))</x:f>
      </x:c>
      <x:c r="J529" t="n">
        <x:v>70</x:v>
      </x:c>
    </x:row>
    <x:row r="530">
      <x:c r="A530" t="str">
        <x:v>TTL.112.B</x:v>
      </x:c>
      <x:c r="B530" t="str">
        <x:v>Agua</x:v>
      </x:c>
      <x:c r="C530" s="8" t="str">
        <x:v>Tapas de Tanque para Ingreso de Agua</x:v>
      </x:c>
      <x:c r="D530" s="8" t="str">
        <x:v>Tapa de Tanque de Agua C/Llave 1 1/2"</x:v>
      </x:c>
      <x:c r="E530" s="8" t="str">
        <x:v>ttl-112-b.png</x:v>
      </x:c>
      <x:c r="F530" s="30"/>
      <x:c r="G530" s="34" t="n">
        <x:v>0</x:v>
      </x:c>
      <x:c r="H530" s="30"/>
      <x:c r="I530" s="32" t="str">
        <x:f>IF(H530&lt;&gt;"",H530,IF(F530="","",ROUND((F530*(1+Ajustes!$B$3/100)*(1+IFERROR(VLOOKUP(B530,Ajustes!$A$7:$B$24,2,FALSE),0)/100)*(1+G530/100))/Ajustes!$B$4,0)*Ajustes!$B$4))</x:f>
      </x:c>
      <x:c r="J530" t="n">
        <x:v>70</x:v>
      </x:c>
    </x:row>
    <x:row r="531">
      <x:c r="A531" t="str">
        <x:v>TTT.112.B</x:v>
      </x:c>
      <x:c r="B531" t="str">
        <x:v>Agua</x:v>
      </x:c>
      <x:c r="C531" s="8" t="str">
        <x:v>Tapas de Tanque para Ingreso de Agua</x:v>
      </x:c>
      <x:c r="D531" s="8" t="str">
        <x:v>Tapa de Tanque de Agua C/Traba 1 1/2" - BLANCA C/AZUL</x:v>
      </x:c>
      <x:c r="E531" s="8" t="str">
        <x:v>ttt-112-b.png</x:v>
      </x:c>
      <x:c r="F531" s="30"/>
      <x:c r="G531" s="34" t="n">
        <x:v>0</x:v>
      </x:c>
      <x:c r="H531" s="30"/>
      <x:c r="I531" s="32" t="str">
        <x:f>IF(H531&lt;&gt;"",H531,IF(F531="","",ROUND((F531*(1+Ajustes!$B$3/100)*(1+IFERROR(VLOOKUP(B531,Ajustes!$A$7:$B$24,2,FALSE),0)/100)*(1+G531/100))/Ajustes!$B$4,0)*Ajustes!$B$4))</x:f>
      </x:c>
      <x:c r="J531" t="n">
        <x:v>70</x:v>
      </x:c>
    </x:row>
    <x:row r="532">
      <x:c r="A532" t="str">
        <x:v>TT.112.NR</x:v>
      </x:c>
      <x:c r="B532" t="str">
        <x:v>Agua</x:v>
      </x:c>
      <x:c r="C532" s="8" t="str">
        <x:v>Tapas de Tanque para Ingreso de Agua</x:v>
      </x:c>
      <x:c r="D532" s="8" t="str">
        <x:v>Tapa de Tanque de Agua 1 1/2"</x:v>
      </x:c>
      <x:c r="E532" s="8" t="str">
        <x:v>tt-112-nr.png</x:v>
      </x:c>
      <x:c r="F532" s="30"/>
      <x:c r="G532" s="34" t="n">
        <x:v>0</x:v>
      </x:c>
      <x:c r="H532" s="30"/>
      <x:c r="I532" s="32" t="str">
        <x:f>IF(H532&lt;&gt;"",H532,IF(F532="","",ROUND((F532*(1+Ajustes!$B$3/100)*(1+IFERROR(VLOOKUP(B532,Ajustes!$A$7:$B$24,2,FALSE),0)/100)*(1+G532/100))/Ajustes!$B$4,0)*Ajustes!$B$4))</x:f>
      </x:c>
      <x:c r="J532" t="n">
        <x:v>70</x:v>
      </x:c>
    </x:row>
    <x:row r="533">
      <x:c r="A533" t="str">
        <x:v>TT.112.B</x:v>
      </x:c>
      <x:c r="B533" t="str">
        <x:v>Agua</x:v>
      </x:c>
      <x:c r="C533" s="8" t="str">
        <x:v>Tapas de Tanque para Ingreso de Agua</x:v>
      </x:c>
      <x:c r="D533" s="8" t="str">
        <x:v>Tapa de Tanque de Agua 1 1/2"</x:v>
      </x:c>
      <x:c r="E533" s="8" t="str">
        <x:v>tt-112-b.png</x:v>
      </x:c>
      <x:c r="F533" s="30"/>
      <x:c r="G533" s="34" t="n">
        <x:v>0</x:v>
      </x:c>
      <x:c r="H533" s="30"/>
      <x:c r="I533" s="32" t="str">
        <x:f>IF(H533&lt;&gt;"",H533,IF(F533="","",ROUND((F533*(1+Ajustes!$B$3/100)*(1+IFERROR(VLOOKUP(B533,Ajustes!$A$7:$B$24,2,FALSE),0)/100)*(1+G533/100))/Ajustes!$B$4,0)*Ajustes!$B$4))</x:f>
      </x:c>
      <x:c r="J533" t="n">
        <x:v>70</x:v>
      </x:c>
    </x:row>
    <x:row r="534">
      <x:c r="A534" t="str">
        <x:v>TT.112.N</x:v>
      </x:c>
      <x:c r="B534" t="str">
        <x:v>Agua</x:v>
      </x:c>
      <x:c r="C534" s="8" t="str">
        <x:v>Tapas de Tanque para Ingreso de Agua</x:v>
      </x:c>
      <x:c r="D534" s="8" t="str">
        <x:v>Tapa de Tanque de Agua 1 1/2"</x:v>
      </x:c>
      <x:c r="E534" s="8" t="str">
        <x:v>tt-112-n.png</x:v>
      </x:c>
      <x:c r="F534" s="30"/>
      <x:c r="G534" s="34" t="n">
        <x:v>0</x:v>
      </x:c>
      <x:c r="H534" s="30"/>
      <x:c r="I534" s="32" t="str">
        <x:f>IF(H534&lt;&gt;"",H534,IF(F534="","",ROUND((F534*(1+Ajustes!$B$3/100)*(1+IFERROR(VLOOKUP(B534,Ajustes!$A$7:$B$24,2,FALSE),0)/100)*(1+G534/100))/Ajustes!$B$4,0)*Ajustes!$B$4))</x:f>
      </x:c>
      <x:c r="J534" t="n">
        <x:v>70</x:v>
      </x:c>
    </x:row>
    <x:row r="535">
      <x:c r="A535" t="str">
        <x:v>TAB.40</x:v>
      </x:c>
      <x:c r="B535" t="str">
        <x:v>Agua</x:v>
      </x:c>
      <x:c r="C535" s="8" t="str">
        <x:v>Tanques de Aguas Blancas</x:v>
      </x:c>
      <x:c r="D535" s="8" t="str">
        <x:v>Tanque de Aguas Blancas 40L</x:v>
      </x:c>
      <x:c r="E535" s="8" t="str">
        <x:v>tab-40.png</x:v>
      </x:c>
      <x:c r="F535" s="30"/>
      <x:c r="G535" s="34" t="n">
        <x:v>0</x:v>
      </x:c>
      <x:c r="H535" s="30"/>
      <x:c r="I535" s="32" t="str">
        <x:f>IF(H535&lt;&gt;"",H535,IF(F535="","",ROUND((F535*(1+Ajustes!$B$3/100)*(1+IFERROR(VLOOKUP(B535,Ajustes!$A$7:$B$24,2,FALSE),0)/100)*(1+G535/100))/Ajustes!$B$4,0)*Ajustes!$B$4))</x:f>
      </x:c>
      <x:c r="J535" t="n">
        <x:v>70</x:v>
      </x:c>
    </x:row>
    <x:row r="536">
      <x:c r="A536" t="str">
        <x:v>TAB.45</x:v>
      </x:c>
      <x:c r="B536" t="str">
        <x:v>Agua</x:v>
      </x:c>
      <x:c r="C536" s="8" t="str">
        <x:v>Tanques de Aguas Blancas</x:v>
      </x:c>
      <x:c r="D536" s="8" t="str">
        <x:v>Tanque de Aguas Blancas 45L</x:v>
      </x:c>
      <x:c r="E536" s="8" t="str">
        <x:v>tab-45.png</x:v>
      </x:c>
      <x:c r="F536" s="30"/>
      <x:c r="G536" s="34" t="n">
        <x:v>0</x:v>
      </x:c>
      <x:c r="H536" s="30"/>
      <x:c r="I536" s="32" t="str">
        <x:f>IF(H536&lt;&gt;"",H536,IF(F536="","",ROUND((F536*(1+Ajustes!$B$3/100)*(1+IFERROR(VLOOKUP(B536,Ajustes!$A$7:$B$24,2,FALSE),0)/100)*(1+G536/100))/Ajustes!$B$4,0)*Ajustes!$B$4))</x:f>
      </x:c>
      <x:c r="J536" t="n">
        <x:v>70</x:v>
      </x:c>
    </x:row>
    <x:row r="537">
      <x:c r="A537" t="str">
        <x:v>TAB.55</x:v>
      </x:c>
      <x:c r="B537" t="str">
        <x:v>Agua</x:v>
      </x:c>
      <x:c r="C537" s="8" t="str">
        <x:v>Tanques de Aguas Blancas</x:v>
      </x:c>
      <x:c r="D537" s="8" t="str">
        <x:v>Tanque de Aguas Blancas 55L</x:v>
      </x:c>
      <x:c r="E537" s="8" t="str">
        <x:v>tab-55.png</x:v>
      </x:c>
      <x:c r="F537" s="30"/>
      <x:c r="G537" s="34" t="n">
        <x:v>0</x:v>
      </x:c>
      <x:c r="H537" s="30"/>
      <x:c r="I537" s="32" t="str">
        <x:f>IF(H537&lt;&gt;"",H537,IF(F537="","",ROUND((F537*(1+Ajustes!$B$3/100)*(1+IFERROR(VLOOKUP(B537,Ajustes!$A$7:$B$24,2,FALSE),0)/100)*(1+G537/100))/Ajustes!$B$4,0)*Ajustes!$B$4))</x:f>
      </x:c>
      <x:c r="J537" t="n">
        <x:v>71</x:v>
      </x:c>
    </x:row>
    <x:row r="538">
      <x:c r="A538" t="str">
        <x:v>TAB.63</x:v>
      </x:c>
      <x:c r="B538" t="str">
        <x:v>Agua</x:v>
      </x:c>
      <x:c r="C538" s="8" t="str">
        <x:v>Tanques de Aguas Blancas</x:v>
      </x:c>
      <x:c r="D538" s="8" t="str">
        <x:v>Tanque de Aguas Blancas 63L</x:v>
      </x:c>
      <x:c r="E538" s="8" t="str">
        <x:v>tab-63.png</x:v>
      </x:c>
      <x:c r="F538" s="30"/>
      <x:c r="G538" s="34" t="n">
        <x:v>0</x:v>
      </x:c>
      <x:c r="H538" s="30"/>
      <x:c r="I538" s="32" t="str">
        <x:f>IF(H538&lt;&gt;"",H538,IF(F538="","",ROUND((F538*(1+Ajustes!$B$3/100)*(1+IFERROR(VLOOKUP(B538,Ajustes!$A$7:$B$24,2,FALSE),0)/100)*(1+G538/100))/Ajustes!$B$4,0)*Ajustes!$B$4))</x:f>
      </x:c>
      <x:c r="J538" t="n">
        <x:v>71</x:v>
      </x:c>
    </x:row>
    <x:row r="539">
      <x:c r="A539" t="str">
        <x:v>TAB.56</x:v>
      </x:c>
      <x:c r="B539" t="str">
        <x:v>Agua</x:v>
      </x:c>
      <x:c r="C539" s="8" t="str">
        <x:v>Tanques de Aguas Blancas</x:v>
      </x:c>
      <x:c r="D539" s="8" t="str">
        <x:v>Tanque de Aguas Blancas 56L</x:v>
      </x:c>
      <x:c r="E539" s="8" t="str">
        <x:v>tab-56.png</x:v>
      </x:c>
      <x:c r="F539" s="30"/>
      <x:c r="G539" s="34" t="n">
        <x:v>0</x:v>
      </x:c>
      <x:c r="H539" s="30"/>
      <x:c r="I539" s="32" t="str">
        <x:f>IF(H539&lt;&gt;"",H539,IF(F539="","",ROUND((F539*(1+Ajustes!$B$3/100)*(1+IFERROR(VLOOKUP(B539,Ajustes!$A$7:$B$24,2,FALSE),0)/100)*(1+G539/100))/Ajustes!$B$4,0)*Ajustes!$B$4))</x:f>
      </x:c>
      <x:c r="J539" t="n">
        <x:v>71</x:v>
      </x:c>
    </x:row>
    <x:row r="540">
      <x:c r="A540" t="str">
        <x:v>TAB.80</x:v>
      </x:c>
      <x:c r="B540" t="str">
        <x:v>Agua</x:v>
      </x:c>
      <x:c r="C540" s="8" t="str">
        <x:v>Tanques de Aguas Blancas</x:v>
      </x:c>
      <x:c r="D540" s="8" t="str">
        <x:v>Tanque de Aguas Blancas 80L</x:v>
      </x:c>
      <x:c r="E540" s="8" t="str">
        <x:v>tab-80.png</x:v>
      </x:c>
      <x:c r="F540" s="30"/>
      <x:c r="G540" s="34" t="n">
        <x:v>0</x:v>
      </x:c>
      <x:c r="H540" s="30"/>
      <x:c r="I540" s="32" t="str">
        <x:f>IF(H540&lt;&gt;"",H540,IF(F540="","",ROUND((F540*(1+Ajustes!$B$3/100)*(1+IFERROR(VLOOKUP(B540,Ajustes!$A$7:$B$24,2,FALSE),0)/100)*(1+G540/100))/Ajustes!$B$4,0)*Ajustes!$B$4))</x:f>
      </x:c>
      <x:c r="J540" t="n">
        <x:v>71</x:v>
      </x:c>
    </x:row>
    <x:row r="541">
      <x:c r="A541" t="str">
        <x:v>TAB.90</x:v>
      </x:c>
      <x:c r="B541" t="str">
        <x:v>Agua</x:v>
      </x:c>
      <x:c r="C541" s="8" t="str">
        <x:v>Tanques de Aguas Blancas</x:v>
      </x:c>
      <x:c r="D541" s="8" t="str">
        <x:v>Tanque de Aguas Blancas 90L</x:v>
      </x:c>
      <x:c r="E541" s="8" t="str">
        <x:v>tab-90.png</x:v>
      </x:c>
      <x:c r="F541" s="30"/>
      <x:c r="G541" s="34" t="n">
        <x:v>0</x:v>
      </x:c>
      <x:c r="H541" s="30"/>
      <x:c r="I541" s="32" t="str">
        <x:f>IF(H541&lt;&gt;"",H541,IF(F541="","",ROUND((F541*(1+Ajustes!$B$3/100)*(1+IFERROR(VLOOKUP(B541,Ajustes!$A$7:$B$24,2,FALSE),0)/100)*(1+G541/100))/Ajustes!$B$4,0)*Ajustes!$B$4))</x:f>
      </x:c>
      <x:c r="J541" t="n">
        <x:v>71</x:v>
      </x:c>
    </x:row>
    <x:row r="542">
      <x:c r="A542" t="str">
        <x:v>TAB.92</x:v>
      </x:c>
      <x:c r="B542" t="str">
        <x:v>Agua</x:v>
      </x:c>
      <x:c r="C542" s="8" t="str">
        <x:v>Tanques de Aguas Blancas</x:v>
      </x:c>
      <x:c r="D542" s="8" t="str">
        <x:v>Tanque de Aguas Blancas 92L</x:v>
      </x:c>
      <x:c r="E542" s="8" t="str">
        <x:v>tab-92.png</x:v>
      </x:c>
      <x:c r="F542" s="30"/>
      <x:c r="G542" s="34" t="n">
        <x:v>0</x:v>
      </x:c>
      <x:c r="H542" s="30"/>
      <x:c r="I542" s="32" t="str">
        <x:f>IF(H542&lt;&gt;"",H542,IF(F542="","",ROUND((F542*(1+Ajustes!$B$3/100)*(1+IFERROR(VLOOKUP(B542,Ajustes!$A$7:$B$24,2,FALSE),0)/100)*(1+G542/100))/Ajustes!$B$4,0)*Ajustes!$B$4))</x:f>
      </x:c>
      <x:c r="J542" t="n">
        <x:v>71</x:v>
      </x:c>
    </x:row>
    <x:row r="543">
      <x:c r="A543" t="str">
        <x:v>TAB.100</x:v>
      </x:c>
      <x:c r="B543" t="str">
        <x:v>Agua</x:v>
      </x:c>
      <x:c r="C543" s="8" t="str">
        <x:v>Tanques de Aguas Blancas</x:v>
      </x:c>
      <x:c r="D543" s="8" t="str">
        <x:v>Tanque de Aguas Blancas 100L</x:v>
      </x:c>
      <x:c r="E543" s="8" t="str">
        <x:v>tab-100.png</x:v>
      </x:c>
      <x:c r="F543" s="30"/>
      <x:c r="G543" s="34" t="n">
        <x:v>0</x:v>
      </x:c>
      <x:c r="H543" s="30"/>
      <x:c r="I543" s="32" t="str">
        <x:f>IF(H543&lt;&gt;"",H543,IF(F543="","",ROUND((F543*(1+Ajustes!$B$3/100)*(1+IFERROR(VLOOKUP(B543,Ajustes!$A$7:$B$24,2,FALSE),0)/100)*(1+G543/100))/Ajustes!$B$4,0)*Ajustes!$B$4))</x:f>
      </x:c>
      <x:c r="J543" t="n">
        <x:v>71</x:v>
      </x:c>
    </x:row>
    <x:row r="544">
      <x:c r="A544" t="str">
        <x:v>TAB.127</x:v>
      </x:c>
      <x:c r="B544" t="str">
        <x:v>Agua</x:v>
      </x:c>
      <x:c r="C544" s="8" t="str">
        <x:v>Tanques de Aguas Blancas</x:v>
      </x:c>
      <x:c r="D544" s="8" t="str">
        <x:v>Tanque de Aguas Blancas 127L</x:v>
      </x:c>
      <x:c r="E544" s="8" t="str">
        <x:v>tab-127.png</x:v>
      </x:c>
      <x:c r="F544" s="30"/>
      <x:c r="G544" s="34" t="n">
        <x:v>0</x:v>
      </x:c>
      <x:c r="H544" s="30"/>
      <x:c r="I544" s="32" t="str">
        <x:f>IF(H544&lt;&gt;"",H544,IF(F544="","",ROUND((F544*(1+Ajustes!$B$3/100)*(1+IFERROR(VLOOKUP(B544,Ajustes!$A$7:$B$24,2,FALSE),0)/100)*(1+G544/100))/Ajustes!$B$4,0)*Ajustes!$B$4))</x:f>
      </x:c>
      <x:c r="J544" t="n">
        <x:v>71</x:v>
      </x:c>
    </x:row>
    <x:row r="545">
      <x:c r="A545" t="str">
        <x:v>TAB.130</x:v>
      </x:c>
      <x:c r="B545" t="str">
        <x:v>Agua</x:v>
      </x:c>
      <x:c r="C545" s="8" t="str">
        <x:v>Tanques de Aguas Blancas</x:v>
      </x:c>
      <x:c r="D545" s="8" t="str">
        <x:v>Tanque de Aguas Blancas 130L</x:v>
      </x:c>
      <x:c r="E545" s="8" t="str">
        <x:v>tab-130.png</x:v>
      </x:c>
      <x:c r="F545" s="30"/>
      <x:c r="G545" s="34" t="n">
        <x:v>0</x:v>
      </x:c>
      <x:c r="H545" s="30"/>
      <x:c r="I545" s="32" t="str">
        <x:f>IF(H545&lt;&gt;"",H545,IF(F545="","",ROUND((F545*(1+Ajustes!$B$3/100)*(1+IFERROR(VLOOKUP(B545,Ajustes!$A$7:$B$24,2,FALSE),0)/100)*(1+G545/100))/Ajustes!$B$4,0)*Ajustes!$B$4))</x:f>
      </x:c>
      <x:c r="J545" t="n">
        <x:v>72</x:v>
      </x:c>
    </x:row>
    <x:row r="546">
      <x:c r="A546" t="str">
        <x:v>TAB.150</x:v>
      </x:c>
      <x:c r="B546" t="str">
        <x:v>Agua</x:v>
      </x:c>
      <x:c r="C546" s="8" t="str">
        <x:v>Tanques de Aguas Blancas</x:v>
      </x:c>
      <x:c r="D546" s="8" t="str">
        <x:v>Tanque de Aguas Blancas 150L</x:v>
      </x:c>
      <x:c r="E546" s="8" t="str">
        <x:v>tab-150.png</x:v>
      </x:c>
      <x:c r="F546" s="30"/>
      <x:c r="G546" s="34" t="n">
        <x:v>0</x:v>
      </x:c>
      <x:c r="H546" s="30"/>
      <x:c r="I546" s="32" t="str">
        <x:f>IF(H546&lt;&gt;"",H546,IF(F546="","",ROUND((F546*(1+Ajustes!$B$3/100)*(1+IFERROR(VLOOKUP(B546,Ajustes!$A$7:$B$24,2,FALSE),0)/100)*(1+G546/100))/Ajustes!$B$4,0)*Ajustes!$B$4))</x:f>
      </x:c>
      <x:c r="J546" t="n">
        <x:v>72</x:v>
      </x:c>
    </x:row>
    <x:row r="547">
      <x:c r="A547" t="str">
        <x:v>TAB.235</x:v>
      </x:c>
      <x:c r="B547" t="str">
        <x:v>Agua</x:v>
      </x:c>
      <x:c r="C547" s="8" t="str">
        <x:v>Tanques de Aguas Blancas</x:v>
      </x:c>
      <x:c r="D547" s="8" t="str">
        <x:v>Tanque de Aguas Blancas 235L</x:v>
      </x:c>
      <x:c r="E547" s="8" t="str">
        <x:v>tab-235.png</x:v>
      </x:c>
      <x:c r="F547" s="30"/>
      <x:c r="G547" s="34" t="n">
        <x:v>0</x:v>
      </x:c>
      <x:c r="H547" s="30"/>
      <x:c r="I547" s="32" t="str">
        <x:f>IF(H547&lt;&gt;"",H547,IF(F547="","",ROUND((F547*(1+Ajustes!$B$3/100)*(1+IFERROR(VLOOKUP(B547,Ajustes!$A$7:$B$24,2,FALSE),0)/100)*(1+G547/100))/Ajustes!$B$4,0)*Ajustes!$B$4))</x:f>
      </x:c>
      <x:c r="J547" t="n">
        <x:v>72</x:v>
      </x:c>
    </x:row>
    <x:row r="548">
      <x:c r="A548" t="str">
        <x:v>TAB.350</x:v>
      </x:c>
      <x:c r="B548" t="str">
        <x:v>Agua</x:v>
      </x:c>
      <x:c r="C548" s="8" t="str">
        <x:v>Tanques de Aguas Blancas</x:v>
      </x:c>
      <x:c r="D548" s="8" t="str">
        <x:v>Tanque de Aguas Blancas 350L</x:v>
      </x:c>
      <x:c r="E548" s="8" t="str">
        <x:v>tab-350.png</x:v>
      </x:c>
      <x:c r="F548" s="30"/>
      <x:c r="G548" s="34" t="n">
        <x:v>0</x:v>
      </x:c>
      <x:c r="H548" s="30"/>
      <x:c r="I548" s="32" t="str">
        <x:f>IF(H548&lt;&gt;"",H548,IF(F548="","",ROUND((F548*(1+Ajustes!$B$3/100)*(1+IFERROR(VLOOKUP(B548,Ajustes!$A$7:$B$24,2,FALSE),0)/100)*(1+G548/100))/Ajustes!$B$4,0)*Ajustes!$B$4))</x:f>
      </x:c>
      <x:c r="J548" t="n">
        <x:v>72</x:v>
      </x:c>
    </x:row>
    <x:row r="549">
      <x:c r="A549" t="str">
        <x:v>TAB.450</x:v>
      </x:c>
      <x:c r="B549" t="str">
        <x:v>Agua</x:v>
      </x:c>
      <x:c r="C549" s="8" t="str">
        <x:v>Tanques de Aguas Blancas</x:v>
      </x:c>
      <x:c r="D549" s="8" t="str">
        <x:v>Tanque de Aguas Blancas 450L</x:v>
      </x:c>
      <x:c r="E549" s="8" t="str">
        <x:v>tab-450.png</x:v>
      </x:c>
      <x:c r="F549" s="30"/>
      <x:c r="G549" s="34" t="n">
        <x:v>0</x:v>
      </x:c>
      <x:c r="H549" s="30"/>
      <x:c r="I549" s="32" t="str">
        <x:f>IF(H549&lt;&gt;"",H549,IF(F549="","",ROUND((F549*(1+Ajustes!$B$3/100)*(1+IFERROR(VLOOKUP(B549,Ajustes!$A$7:$B$24,2,FALSE),0)/100)*(1+G549/100))/Ajustes!$B$4,0)*Ajustes!$B$4))</x:f>
      </x:c>
      <x:c r="J549" t="n">
        <x:v>72</x:v>
      </x:c>
    </x:row>
    <x:row r="550">
      <x:c r="A550" t="str">
        <x:v>TAB.73.S</x:v>
      </x:c>
      <x:c r="B550" t="str">
        <x:v>Agua</x:v>
      </x:c>
      <x:c r="C550" s="8" t="str">
        <x:v>Tanques de Aguas Blancas</x:v>
      </x:c>
      <x:c r="D550" s="8" t="str">
        <x:v>Tanque de Aguas Blancas 73L</x:v>
      </x:c>
      <x:c r="E550" s="8" t="str">
        <x:v>tab-73-s.png</x:v>
      </x:c>
      <x:c r="F550" s="30"/>
      <x:c r="G550" s="34" t="n">
        <x:v>0</x:v>
      </x:c>
      <x:c r="H550" s="30"/>
      <x:c r="I550" s="32" t="str">
        <x:f>IF(H550&lt;&gt;"",H550,IF(F550="","",ROUND((F550*(1+Ajustes!$B$3/100)*(1+IFERROR(VLOOKUP(B550,Ajustes!$A$7:$B$24,2,FALSE),0)/100)*(1+G550/100))/Ajustes!$B$4,0)*Ajustes!$B$4))</x:f>
      </x:c>
      <x:c r="J550" t="n">
        <x:v>72</x:v>
      </x:c>
    </x:row>
    <x:row r="551">
      <x:c r="A551" t="str">
        <x:v>TAB.125.S</x:v>
      </x:c>
      <x:c r="B551" t="str">
        <x:v>Agua</x:v>
      </x:c>
      <x:c r="C551" s="8" t="str">
        <x:v>Tanques de Aguas Blancas</x:v>
      </x:c>
      <x:c r="D551" s="8" t="str">
        <x:v>Tanque de Aguas Blancas 125L</x:v>
      </x:c>
      <x:c r="E551" s="8" t="str">
        <x:v>tab-125-s.png</x:v>
      </x:c>
      <x:c r="F551" s="30"/>
      <x:c r="G551" s="34" t="n">
        <x:v>0</x:v>
      </x:c>
      <x:c r="H551" s="30"/>
      <x:c r="I551" s="32" t="str">
        <x:f>IF(H551&lt;&gt;"",H551,IF(F551="","",ROUND((F551*(1+Ajustes!$B$3/100)*(1+IFERROR(VLOOKUP(B551,Ajustes!$A$7:$B$24,2,FALSE),0)/100)*(1+G551/100))/Ajustes!$B$4,0)*Ajustes!$B$4))</x:f>
      </x:c>
      <x:c r="J551" t="n">
        <x:v>72</x:v>
      </x:c>
    </x:row>
    <x:row r="552">
      <x:c r="A552" t="str">
        <x:v>TAB.151.S</x:v>
      </x:c>
      <x:c r="B552" t="str">
        <x:v>Agua</x:v>
      </x:c>
      <x:c r="C552" s="8" t="str">
        <x:v>Tanques de Aguas Blancas</x:v>
      </x:c>
      <x:c r="D552" s="8" t="str">
        <x:v>Tanque de Aguas Blancas 151L</x:v>
      </x:c>
      <x:c r="E552" s="8" t="str">
        <x:v>tab-151-s.png</x:v>
      </x:c>
      <x:c r="F552" s="30"/>
      <x:c r="G552" s="34" t="n">
        <x:v>0</x:v>
      </x:c>
      <x:c r="H552" s="30"/>
      <x:c r="I552" s="32" t="str">
        <x:f>IF(H552&lt;&gt;"",H552,IF(F552="","",ROUND((F552*(1+Ajustes!$B$3/100)*(1+IFERROR(VLOOKUP(B552,Ajustes!$A$7:$B$24,2,FALSE),0)/100)*(1+G552/100))/Ajustes!$B$4,0)*Ajustes!$B$4))</x:f>
      </x:c>
      <x:c r="J552" t="n">
        <x:v>72</x:v>
      </x:c>
    </x:row>
    <x:row r="553">
      <x:c r="A553" t="str">
        <x:v>TAN.63</x:v>
      </x:c>
      <x:c r="B553" t="str">
        <x:v>Agua</x:v>
      </x:c>
      <x:c r="C553" s="8" t="str">
        <x:v>Tanques de Aguas Negras</x:v>
      </x:c>
      <x:c r="D553" s="8" t="str">
        <x:v>Tanque de Aguas Negras 63L</x:v>
      </x:c>
      <x:c r="E553" s="8" t="str">
        <x:v>tan-63.png</x:v>
      </x:c>
      <x:c r="F553" s="30"/>
      <x:c r="G553" s="34" t="n">
        <x:v>0</x:v>
      </x:c>
      <x:c r="H553" s="30"/>
      <x:c r="I553" s="32" t="str">
        <x:f>IF(H553&lt;&gt;"",H553,IF(F553="","",ROUND((F553*(1+Ajustes!$B$3/100)*(1+IFERROR(VLOOKUP(B553,Ajustes!$A$7:$B$24,2,FALSE),0)/100)*(1+G553/100))/Ajustes!$B$4,0)*Ajustes!$B$4))</x:f>
      </x:c>
      <x:c r="J553" t="n">
        <x:v>73</x:v>
      </x:c>
    </x:row>
    <x:row r="554">
      <x:c r="A554" t="str">
        <x:v>TAN.80</x:v>
      </x:c>
      <x:c r="B554" t="str">
        <x:v>Agua</x:v>
      </x:c>
      <x:c r="C554" s="8" t="str">
        <x:v>Tanques de Aguas Negras</x:v>
      </x:c>
      <x:c r="D554" s="8" t="str">
        <x:v>Tanque de Aguas Negras 80 L</x:v>
      </x:c>
      <x:c r="E554" s="8" t="str">
        <x:v>tan-80.png</x:v>
      </x:c>
      <x:c r="F554" s="30"/>
      <x:c r="G554" s="34" t="n">
        <x:v>0</x:v>
      </x:c>
      <x:c r="H554" s="30"/>
      <x:c r="I554" s="32" t="str">
        <x:f>IF(H554&lt;&gt;"",H554,IF(F554="","",ROUND((F554*(1+Ajustes!$B$3/100)*(1+IFERROR(VLOOKUP(B554,Ajustes!$A$7:$B$24,2,FALSE),0)/100)*(1+G554/100))/Ajustes!$B$4,0)*Ajustes!$B$4))</x:f>
      </x:c>
      <x:c r="J554" t="n">
        <x:v>73</x:v>
      </x:c>
    </x:row>
    <x:row r="555">
      <x:c r="A555" t="str">
        <x:v>TAN.90</x:v>
      </x:c>
      <x:c r="B555" t="str">
        <x:v>Agua</x:v>
      </x:c>
      <x:c r="C555" s="8" t="str">
        <x:v>Tanques de Aguas Negras</x:v>
      </x:c>
      <x:c r="D555" s="8" t="str">
        <x:v>Tanque de Aguas Negras 90L</x:v>
      </x:c>
      <x:c r="E555" s="8" t="str">
        <x:v>tan-90.png</x:v>
      </x:c>
      <x:c r="F555" s="30"/>
      <x:c r="G555" s="34" t="n">
        <x:v>0</x:v>
      </x:c>
      <x:c r="H555" s="30"/>
      <x:c r="I555" s="32" t="str">
        <x:f>IF(H555&lt;&gt;"",H555,IF(F555="","",ROUND((F555*(1+Ajustes!$B$3/100)*(1+IFERROR(VLOOKUP(B555,Ajustes!$A$7:$B$24,2,FALSE),0)/100)*(1+G555/100))/Ajustes!$B$4,0)*Ajustes!$B$4))</x:f>
      </x:c>
      <x:c r="J555" t="n">
        <x:v>73</x:v>
      </x:c>
    </x:row>
    <x:row r="556">
      <x:c r="A556" t="str">
        <x:v>TAN.100</x:v>
      </x:c>
      <x:c r="B556" t="str">
        <x:v>Agua</x:v>
      </x:c>
      <x:c r="C556" s="8" t="str">
        <x:v>Tanques de Aguas Negras</x:v>
      </x:c>
      <x:c r="D556" s="8" t="str">
        <x:v>Tanque de Aguas Negras 100L</x:v>
      </x:c>
      <x:c r="E556" s="8" t="str">
        <x:v>tan-100.png</x:v>
      </x:c>
      <x:c r="F556" s="30"/>
      <x:c r="G556" s="34" t="n">
        <x:v>0</x:v>
      </x:c>
      <x:c r="H556" s="30"/>
      <x:c r="I556" s="32" t="str">
        <x:f>IF(H556&lt;&gt;"",H556,IF(F556="","",ROUND((F556*(1+Ajustes!$B$3/100)*(1+IFERROR(VLOOKUP(B556,Ajustes!$A$7:$B$24,2,FALSE),0)/100)*(1+G556/100))/Ajustes!$B$4,0)*Ajustes!$B$4))</x:f>
      </x:c>
      <x:c r="J556" t="n">
        <x:v>73</x:v>
      </x:c>
    </x:row>
    <x:row r="557">
      <x:c r="A557" t="str">
        <x:v>TAN.130</x:v>
      </x:c>
      <x:c r="B557" t="str">
        <x:v>Agua</x:v>
      </x:c>
      <x:c r="C557" s="8" t="str">
        <x:v>Tanques de Aguas Negras</x:v>
      </x:c>
      <x:c r="D557" s="8" t="str">
        <x:v>Tanque de Aguas Negras 130L</x:v>
      </x:c>
      <x:c r="E557" s="8" t="str">
        <x:v>tan-130.png</x:v>
      </x:c>
      <x:c r="F557" s="30"/>
      <x:c r="G557" s="34" t="n">
        <x:v>0</x:v>
      </x:c>
      <x:c r="H557" s="30"/>
      <x:c r="I557" s="32" t="str">
        <x:f>IF(H557&lt;&gt;"",H557,IF(F557="","",ROUND((F557*(1+Ajustes!$B$3/100)*(1+IFERROR(VLOOKUP(B557,Ajustes!$A$7:$B$24,2,FALSE),0)/100)*(1+G557/100))/Ajustes!$B$4,0)*Ajustes!$B$4))</x:f>
      </x:c>
      <x:c r="J557" t="n">
        <x:v>73</x:v>
      </x:c>
    </x:row>
    <x:row r="558">
      <x:c r="A558" t="str">
        <x:v>TAN.140</x:v>
      </x:c>
      <x:c r="B558" t="str">
        <x:v>Agua</x:v>
      </x:c>
      <x:c r="C558" s="8" t="str">
        <x:v>Tanques de Aguas Negras</x:v>
      </x:c>
      <x:c r="D558" s="8" t="str">
        <x:v>Tanque de Aguas Negras 140L</x:v>
      </x:c>
      <x:c r="E558" s="8" t="str">
        <x:v>tan-140.png</x:v>
      </x:c>
      <x:c r="F558" s="30"/>
      <x:c r="G558" s="34" t="n">
        <x:v>0</x:v>
      </x:c>
      <x:c r="H558" s="30"/>
      <x:c r="I558" s="32" t="str">
        <x:f>IF(H558&lt;&gt;"",H558,IF(F558="","",ROUND((F558*(1+Ajustes!$B$3/100)*(1+IFERROR(VLOOKUP(B558,Ajustes!$A$7:$B$24,2,FALSE),0)/100)*(1+G558/100))/Ajustes!$B$4,0)*Ajustes!$B$4))</x:f>
      </x:c>
      <x:c r="J558" t="n">
        <x:v>73</x:v>
      </x:c>
    </x:row>
    <x:row r="559">
      <x:c r="A559" t="str">
        <x:v>TAN.235</x:v>
      </x:c>
      <x:c r="B559" t="str">
        <x:v>Agua</x:v>
      </x:c>
      <x:c r="C559" s="8" t="str">
        <x:v>Tanques de Aguas Negras</x:v>
      </x:c>
      <x:c r="D559" s="8" t="str">
        <x:v>Tanque de Aguas Negras 235L</x:v>
      </x:c>
      <x:c r="E559" s="8" t="str">
        <x:v>tan-235.png</x:v>
      </x:c>
      <x:c r="F559" s="30"/>
      <x:c r="G559" s="34" t="n">
        <x:v>0</x:v>
      </x:c>
      <x:c r="H559" s="30"/>
      <x:c r="I559" s="32" t="str">
        <x:f>IF(H559&lt;&gt;"",H559,IF(F559="","",ROUND((F559*(1+Ajustes!$B$3/100)*(1+IFERROR(VLOOKUP(B559,Ajustes!$A$7:$B$24,2,FALSE),0)/100)*(1+G559/100))/Ajustes!$B$4,0)*Ajustes!$B$4))</x:f>
      </x:c>
      <x:c r="J559" t="n">
        <x:v>73</x:v>
      </x:c>
    </x:row>
    <x:row r="560">
      <x:c r="A560" t="str">
        <x:v>TAN.350</x:v>
      </x:c>
      <x:c r="B560" t="str">
        <x:v>Agua</x:v>
      </x:c>
      <x:c r="C560" s="8" t="str">
        <x:v>Tanques de Aguas Negras</x:v>
      </x:c>
      <x:c r="D560" s="8" t="str">
        <x:v>Tanque de Aguas Negras 350L</x:v>
      </x:c>
      <x:c r="E560" s="8" t="str">
        <x:v>tan-350.png</x:v>
      </x:c>
      <x:c r="F560" s="30"/>
      <x:c r="G560" s="34" t="n">
        <x:v>0</x:v>
      </x:c>
      <x:c r="H560" s="30"/>
      <x:c r="I560" s="32" t="str">
        <x:f>IF(H560&lt;&gt;"",H560,IF(F560="","",ROUND((F560*(1+Ajustes!$B$3/100)*(1+IFERROR(VLOOKUP(B560,Ajustes!$A$7:$B$24,2,FALSE),0)/100)*(1+G560/100))/Ajustes!$B$4,0)*Ajustes!$B$4))</x:f>
      </x:c>
      <x:c r="J560" t="n">
        <x:v>73</x:v>
      </x:c>
    </x:row>
  </x:sheetData>
  <x:conditionalFormatting sqref="F2:F560">
    <x:cfRule type="expression" dxfId="0" priority="1">
      <x:formula>F2=""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8b841fcb2349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1" t="str">
        <x:v>Ajustes masivos</x:v>
      </x:c>
      <x:c r="B1" s="11"/>
      <x:c r="C1" s="11"/>
      <x:c r="D1" s="11"/>
    </x:row>
    <x:row r="3">
      <x:c r="A3" s="15" t="str">
        <x:v>Ajuste global %</x:v>
      </x:c>
      <x:c r="B3" t="n">
        <x:v>0</x:v>
      </x:c>
    </x:row>
    <x:row r="4">
      <x:c r="A4" s="15" t="str">
        <x:v>Redondear a</x:v>
      </x:c>
      <x:c r="B4" t="n">
        <x:v>100</x:v>
      </x:c>
    </x:row>
    <x:row r="6">
      <x:c r="A6" s="19" t="str">
        <x:v>Categoría</x:v>
      </x:c>
      <x:c r="B6" s="19" t="str">
        <x:v>Ajuste %</x:v>
      </x:c>
    </x:row>
    <x:row r="7">
      <x:c r="A7" t="str">
        <x:v>Energía Solar</x:v>
      </x:c>
      <x:c r="B7" t="n">
        <x:v>0</x:v>
      </x:c>
    </x:row>
    <x:row r="8">
      <x:c r="A8" t="str">
        <x:v>Reguladores</x:v>
      </x:c>
      <x:c r="B8" t="n">
        <x:v>0</x:v>
      </x:c>
    </x:row>
    <x:row r="9">
      <x:c r="A9" t="str">
        <x:v>Inversores</x:v>
      </x:c>
      <x:c r="B9" t="n">
        <x:v>0</x:v>
      </x:c>
    </x:row>
    <x:row r="10">
      <x:c r="A10" t="str">
        <x:v>Baterías</x:v>
      </x:c>
      <x:c r="B10" t="n">
        <x:v>0</x:v>
      </x:c>
    </x:row>
    <x:row r="11">
      <x:c r="A11" t="str">
        <x:v>Electricidad</x:v>
      </x:c>
      <x:c r="B11" t="n">
        <x:v>0</x:v>
      </x:c>
    </x:row>
    <x:row r="12">
      <x:c r="A12" t="str">
        <x:v>Electrodomésticos</x:v>
      </x:c>
      <x:c r="B12" t="n">
        <x:v>0</x:v>
      </x:c>
    </x:row>
    <x:row r="13">
      <x:c r="A13" t="str">
        <x:v>Heladeras</x:v>
      </x:c>
      <x:c r="B13" t="n">
        <x:v>0</x:v>
      </x:c>
    </x:row>
    <x:row r="14">
      <x:c r="A14" t="str">
        <x:v>Climatización</x:v>
      </x:c>
      <x:c r="B14" t="n">
        <x:v>0</x:v>
      </x:c>
    </x:row>
    <x:row r="15">
      <x:c r="A15" t="str">
        <x:v>Calefacción</x:v>
      </x:c>
      <x:c r="B15" t="n">
        <x:v>0</x:v>
      </x:c>
    </x:row>
    <x:row r="16">
      <x:c r="A16" t="str">
        <x:v>Cocina</x:v>
      </x:c>
      <x:c r="B16" t="n">
        <x:v>0</x:v>
      </x:c>
    </x:row>
    <x:row r="17">
      <x:c r="A17" t="str">
        <x:v>Aberturas</x:v>
      </x:c>
      <x:c r="B17" t="n">
        <x:v>0</x:v>
      </x:c>
    </x:row>
    <x:row r="18">
      <x:c r="A18" t="str">
        <x:v>Ventilación</x:v>
      </x:c>
      <x:c r="B18" t="n">
        <x:v>0</x:v>
      </x:c>
    </x:row>
    <x:row r="19">
      <x:c r="A19" t="str">
        <x:v>Herrajes</x:v>
      </x:c>
      <x:c r="B19" t="n">
        <x:v>0</x:v>
      </x:c>
    </x:row>
    <x:row r="20">
      <x:c r="A20" t="str">
        <x:v>Mobiliario</x:v>
      </x:c>
      <x:c r="B20" t="n">
        <x:v>0</x:v>
      </x:c>
    </x:row>
    <x:row r="21">
      <x:c r="A21" t="str">
        <x:v>Seguridad</x:v>
      </x:c>
      <x:c r="B21" t="n">
        <x:v>0</x:v>
      </x:c>
    </x:row>
    <x:row r="22">
      <x:c r="A22" t="str">
        <x:v>Sanitarios</x:v>
      </x:c>
      <x:c r="B22" t="n">
        <x:v>0</x:v>
      </x:c>
    </x:row>
    <x:row r="23">
      <x:c r="A23" t="str">
        <x:v>Grifería</x:v>
      </x:c>
      <x:c r="B23" t="n">
        <x:v>0</x:v>
      </x:c>
    </x:row>
    <x:row r="24">
      <x:c r="A24" t="str">
        <x:v>Agua</x:v>
      </x:c>
      <x:c r="B24" t="n">
        <x:v>0</x:v>
      </x:c>
    </x:row>
  </x:sheetData>
  <x:mergeCells>
    <x:mergeCell ref="A1:D1"/>
  </x:mergeCells>
  <x:dataValidations count="1">
    <x:dataValidation type="list" sqref="B4">
      <x:formula1>"1,10,100,500,1000"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" t="str">
        <x:v>RC Conversiones - Gestor masivo de precios</x:v>
      </x:c>
      <x:c r="B1" s="4"/>
      <x:c r="C1" s="4"/>
      <x:c r="D1" s="4"/>
      <x:c r="E1" s="4"/>
      <x:c r="F1" s="4"/>
    </x:row>
    <x:row r="3">
      <x:c r="A3" s="8" t="str">
        <x:v>1. Cargá el precio actual de cada producto en 'Precio base'.</x:v>
      </x:c>
    </x:row>
    <x:row r="4">
      <x:c r="A4" s="8" t="str">
        <x:v>2. 'Ajuste global %' cambia todos los productos de una.</x:v>
      </x:c>
    </x:row>
    <x:row r="5">
      <x:c r="A5" s="8" t="str">
        <x:v>3. En la tabla de categorías podés aplicar un porcentaje solo a una categoría.</x:v>
      </x:c>
    </x:row>
    <x:row r="6">
      <x:c r="A6" s="8" t="str">
        <x:v>4. 'Ajuste individual %' modifica únicamente ese producto.</x:v>
      </x:c>
    </x:row>
    <x:row r="7">
      <x:c r="A7" s="8" t="str">
        <x:v>5. 'Precio manual' fija un precio exacto y tiene prioridad sobre los porcentajes.</x:v>
      </x:c>
    </x:row>
    <x:row r="8">
      <x:c r="A8" s="8" t="str">
        <x:v>6. 'Precio final' se calcula automáticamente.</x:v>
      </x:c>
    </x:row>
    <x:row r="9">
      <x:c r="A9" s="8" t="str">
        <x:v>7. Podés redondear a $1, $10, $100, $500 o $1000.</x:v>
      </x:c>
    </x:row>
    <x:row r="10">
      <x:c r="A10" s="8" t="str">
        <x:v>8. El PDF no contiene precios: por eso Precio base queda vacío.</x:v>
      </x:c>
    </x:row>
    <x:row r="11">
      <x:c r="A11" s="8" t="str">
        <x:v>9. La columna Imagen muestra el archivo que corresponde a cada producto.</x:v>
      </x:c>
    </x:row>
  </x:sheetData>
  <x:mergeCells>
    <x:mergeCell ref="A1:F1"/>
  </x:mergeCells>
  <x:pageMargins left="0.7" right="0.7" top="0.75" bottom="0.75" header="0.3" footer="0.3"/>
</x:worksheet>
</file>